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7470" yWindow="45" windowWidth="7590" windowHeight="7335"/>
  </bookViews>
  <sheets>
    <sheet name="DATA" sheetId="1" r:id="rId1"/>
    <sheet name="LOCATIONS" sheetId="2" r:id="rId2"/>
    <sheet name="CONTACTS" sheetId="4" r:id="rId3"/>
    <sheet name="TOPICALAREAS" sheetId="5" r:id="rId4"/>
    <sheet name="TOPICALUIDS" sheetId="6" r:id="rId5"/>
    <sheet name="WORD" sheetId="8" r:id="rId6"/>
    <sheet name="DETAILS" sheetId="9" r:id="rId7"/>
    <sheet name="ICAL_ROWS" sheetId="3" r:id="rId8"/>
  </sheets>
  <calcPr calcId="145621"/>
</workbook>
</file>

<file path=xl/calcChain.xml><?xml version="1.0" encoding="utf-8"?>
<calcChain xmlns="http://schemas.openxmlformats.org/spreadsheetml/2006/main">
  <c r="B31" i="1" l="1"/>
  <c r="D6" i="1" l="1"/>
  <c r="B10" i="1" l="1"/>
  <c r="B7" i="1"/>
  <c r="B137" i="1"/>
  <c r="A137" i="1" s="1"/>
  <c r="A137" i="3" s="1"/>
  <c r="B138" i="1"/>
  <c r="A138" i="1" s="1"/>
  <c r="A138" i="3" s="1"/>
  <c r="B139" i="1"/>
  <c r="A139" i="1" s="1"/>
  <c r="A139" i="3" s="1"/>
  <c r="B140" i="1"/>
  <c r="A140" i="1" s="1"/>
  <c r="B141" i="1"/>
  <c r="A141" i="1" s="1"/>
  <c r="A141" i="3" s="1"/>
  <c r="B142" i="1"/>
  <c r="A142" i="1" s="1"/>
  <c r="A142" i="3" s="1"/>
  <c r="B143" i="1"/>
  <c r="A143" i="1" s="1"/>
  <c r="B144" i="1"/>
  <c r="A144" i="1" s="1"/>
  <c r="A144" i="3" s="1"/>
  <c r="B145" i="1"/>
  <c r="A145" i="1" s="1"/>
  <c r="A145" i="3" s="1"/>
  <c r="B146" i="1"/>
  <c r="A146" i="1" s="1"/>
  <c r="A146" i="3" s="1"/>
  <c r="B147" i="1"/>
  <c r="A147" i="1" s="1"/>
  <c r="A147" i="3" s="1"/>
  <c r="B148" i="1"/>
  <c r="A148" i="1" s="1"/>
  <c r="B149" i="1"/>
  <c r="A149" i="1" s="1"/>
  <c r="A149" i="3" s="1"/>
  <c r="B150" i="1"/>
  <c r="A150" i="1" s="1"/>
  <c r="A150" i="3" s="1"/>
  <c r="B151" i="1"/>
  <c r="A151" i="1" s="1"/>
  <c r="B152" i="1"/>
  <c r="A152" i="1" s="1"/>
  <c r="B153" i="1"/>
  <c r="A153" i="1" s="1"/>
  <c r="A153" i="3" s="1"/>
  <c r="B154" i="1"/>
  <c r="A154" i="1" s="1"/>
  <c r="A154" i="3" s="1"/>
  <c r="B155" i="1"/>
  <c r="A155" i="1" s="1"/>
  <c r="A155" i="3" s="1"/>
  <c r="B156" i="1"/>
  <c r="A156" i="1" s="1"/>
  <c r="B157" i="1"/>
  <c r="A157" i="1" s="1"/>
  <c r="A157" i="3" s="1"/>
  <c r="B158" i="1"/>
  <c r="A158" i="1" s="1"/>
  <c r="A158" i="3" s="1"/>
  <c r="B159" i="1"/>
  <c r="A159" i="1" s="1"/>
  <c r="B160" i="1"/>
  <c r="B161" i="1"/>
  <c r="A161" i="1" s="1"/>
  <c r="A161" i="3" s="1"/>
  <c r="B162" i="1"/>
  <c r="A162" i="1" s="1"/>
  <c r="A162" i="3" s="1"/>
  <c r="B163" i="1"/>
  <c r="A163" i="1" s="1"/>
  <c r="B164" i="1"/>
  <c r="A164" i="1" s="1"/>
  <c r="B165" i="1"/>
  <c r="A165" i="1" s="1"/>
  <c r="A165" i="3" s="1"/>
  <c r="B166" i="1"/>
  <c r="A166" i="1" s="1"/>
  <c r="A166" i="3" s="1"/>
  <c r="B167" i="1"/>
  <c r="A167" i="1" s="1"/>
  <c r="B168" i="1"/>
  <c r="A168" i="1" s="1"/>
  <c r="A168" i="3" s="1"/>
  <c r="B169" i="1"/>
  <c r="A169" i="1" s="1"/>
  <c r="A169" i="3" s="1"/>
  <c r="B170" i="1"/>
  <c r="A170" i="1" s="1"/>
  <c r="A170" i="3" s="1"/>
  <c r="B171" i="1"/>
  <c r="A171" i="1" s="1"/>
  <c r="A171" i="3" s="1"/>
  <c r="B172" i="1"/>
  <c r="A172" i="1" s="1"/>
  <c r="B173" i="1"/>
  <c r="A173" i="1" s="1"/>
  <c r="A173" i="3" s="1"/>
  <c r="B174" i="1"/>
  <c r="A174" i="1" s="1"/>
  <c r="A174" i="3" s="1"/>
  <c r="B175" i="1"/>
  <c r="A175" i="1" s="1"/>
  <c r="B176" i="1"/>
  <c r="A176" i="1" s="1"/>
  <c r="A176" i="3" s="1"/>
  <c r="B177" i="1"/>
  <c r="A177" i="1" s="1"/>
  <c r="A177" i="3" s="1"/>
  <c r="B178" i="1"/>
  <c r="A178" i="1" s="1"/>
  <c r="A178" i="3" s="1"/>
  <c r="B179" i="1"/>
  <c r="A179" i="1" s="1"/>
  <c r="A179" i="3" s="1"/>
  <c r="B180" i="1"/>
  <c r="A180" i="1" s="1"/>
  <c r="B181" i="1"/>
  <c r="A181" i="1" s="1"/>
  <c r="A181" i="3" s="1"/>
  <c r="B182" i="1"/>
  <c r="A182" i="1" s="1"/>
  <c r="A182" i="3" s="1"/>
  <c r="B183" i="1"/>
  <c r="A183" i="1" s="1"/>
  <c r="B184" i="1"/>
  <c r="A184" i="1" s="1"/>
  <c r="A184" i="3" s="1"/>
  <c r="B185" i="1"/>
  <c r="A185" i="1" s="1"/>
  <c r="A185" i="3" s="1"/>
  <c r="B186" i="1"/>
  <c r="A186" i="1" s="1"/>
  <c r="A186" i="3" s="1"/>
  <c r="B187" i="1"/>
  <c r="A187" i="1" s="1"/>
  <c r="A187" i="3" s="1"/>
  <c r="B188" i="1"/>
  <c r="A188" i="1" s="1"/>
  <c r="B189" i="1"/>
  <c r="A189" i="1" s="1"/>
  <c r="A189" i="3" s="1"/>
  <c r="B190" i="1"/>
  <c r="A190" i="1" s="1"/>
  <c r="A190" i="3" s="1"/>
  <c r="B191" i="1"/>
  <c r="A191" i="1" s="1"/>
  <c r="B192" i="1"/>
  <c r="A192" i="1" s="1"/>
  <c r="A192" i="3" s="1"/>
  <c r="B193" i="1"/>
  <c r="A193" i="1" s="1"/>
  <c r="A193" i="3" s="1"/>
  <c r="B194" i="1"/>
  <c r="A194" i="1" s="1"/>
  <c r="A194" i="3" s="1"/>
  <c r="B195" i="1"/>
  <c r="A195" i="1" s="1"/>
  <c r="A195" i="3" s="1"/>
  <c r="B196" i="1"/>
  <c r="A196" i="1" s="1"/>
  <c r="B197" i="1"/>
  <c r="A197" i="1" s="1"/>
  <c r="A197" i="3" s="1"/>
  <c r="B198" i="1"/>
  <c r="A198" i="1" s="1"/>
  <c r="A198" i="3" s="1"/>
  <c r="B199" i="1"/>
  <c r="A199" i="1" s="1"/>
  <c r="B200" i="1"/>
  <c r="A200" i="1" s="1"/>
  <c r="A200" i="3" s="1"/>
  <c r="B201" i="1"/>
  <c r="A201" i="1" s="1"/>
  <c r="A201" i="3" s="1"/>
  <c r="B202" i="1"/>
  <c r="A202" i="1" s="1"/>
  <c r="A202" i="3" s="1"/>
  <c r="B203" i="1"/>
  <c r="A203" i="1" s="1"/>
  <c r="A203" i="3" s="1"/>
  <c r="B204" i="1"/>
  <c r="A204" i="1" s="1"/>
  <c r="B205" i="1"/>
  <c r="A205" i="1" s="1"/>
  <c r="A205" i="3" s="1"/>
  <c r="B206" i="1"/>
  <c r="A206" i="1" s="1"/>
  <c r="A206" i="3" s="1"/>
  <c r="B207" i="1"/>
  <c r="A207" i="1" s="1"/>
  <c r="B208" i="1"/>
  <c r="A208" i="1" s="1"/>
  <c r="A208" i="3" s="1"/>
  <c r="B209" i="1"/>
  <c r="A209" i="1" s="1"/>
  <c r="A209" i="3" s="1"/>
  <c r="B210" i="1"/>
  <c r="A210" i="1" s="1"/>
  <c r="A210" i="3" s="1"/>
  <c r="B211" i="1"/>
  <c r="A211" i="1" s="1"/>
  <c r="A211" i="3" s="1"/>
  <c r="B212" i="1"/>
  <c r="A212" i="1" s="1"/>
  <c r="B213" i="1"/>
  <c r="A213" i="1" s="1"/>
  <c r="A213" i="3" s="1"/>
  <c r="B214" i="1"/>
  <c r="A214" i="1" s="1"/>
  <c r="A214" i="3" s="1"/>
  <c r="B215" i="1"/>
  <c r="A215" i="1" s="1"/>
  <c r="A215" i="3" s="1"/>
  <c r="B216" i="1"/>
  <c r="A216" i="1" s="1"/>
  <c r="A216" i="3" s="1"/>
  <c r="B217" i="1"/>
  <c r="A217" i="1" s="1"/>
  <c r="A217" i="3" s="1"/>
  <c r="B218" i="1"/>
  <c r="A218" i="1" s="1"/>
  <c r="A218" i="3" s="1"/>
  <c r="B219" i="1"/>
  <c r="A219" i="1" s="1"/>
  <c r="A219" i="3" s="1"/>
  <c r="B220" i="1"/>
  <c r="A220" i="1" s="1"/>
  <c r="A220" i="3" s="1"/>
  <c r="B221" i="1"/>
  <c r="A221" i="1" s="1"/>
  <c r="A221" i="3" s="1"/>
  <c r="B222" i="1"/>
  <c r="A222" i="1" s="1"/>
  <c r="A222" i="3" s="1"/>
  <c r="B223" i="1"/>
  <c r="A223" i="1" s="1"/>
  <c r="A223" i="3" s="1"/>
  <c r="B224" i="1"/>
  <c r="A224" i="1" s="1"/>
  <c r="B225" i="1"/>
  <c r="A225" i="1" s="1"/>
  <c r="A225" i="3" s="1"/>
  <c r="B226" i="1"/>
  <c r="A226" i="1" s="1"/>
  <c r="A226" i="3" s="1"/>
  <c r="B227" i="1"/>
  <c r="A227" i="1" s="1"/>
  <c r="A227" i="3" s="1"/>
  <c r="B228" i="1"/>
  <c r="A228" i="1" s="1"/>
  <c r="B229" i="1"/>
  <c r="A229" i="1" s="1"/>
  <c r="A229" i="3" s="1"/>
  <c r="B230" i="1"/>
  <c r="A230" i="1" s="1"/>
  <c r="A230" i="3" s="1"/>
  <c r="B231" i="1"/>
  <c r="A231" i="1" s="1"/>
  <c r="A231" i="3" s="1"/>
  <c r="B232" i="1"/>
  <c r="A232" i="1" s="1"/>
  <c r="A232" i="3" s="1"/>
  <c r="B233" i="1"/>
  <c r="A233" i="1" s="1"/>
  <c r="A233" i="3" s="1"/>
  <c r="B234" i="1"/>
  <c r="A234" i="1" s="1"/>
  <c r="A234" i="3" s="1"/>
  <c r="B235" i="1"/>
  <c r="A235" i="1" s="1"/>
  <c r="A235" i="3" s="1"/>
  <c r="B236" i="1"/>
  <c r="A236" i="1" s="1"/>
  <c r="A236" i="3" s="1"/>
  <c r="B237" i="1"/>
  <c r="A237" i="1" s="1"/>
  <c r="A237" i="3" s="1"/>
  <c r="B238" i="1"/>
  <c r="A238" i="1" s="1"/>
  <c r="A238" i="3" s="1"/>
  <c r="B239" i="1"/>
  <c r="A239" i="1" s="1"/>
  <c r="A239" i="3" s="1"/>
  <c r="B240" i="1"/>
  <c r="A240" i="1" s="1"/>
  <c r="B241" i="1"/>
  <c r="A241" i="1" s="1"/>
  <c r="A241" i="3" s="1"/>
  <c r="B242" i="1"/>
  <c r="A242" i="1" s="1"/>
  <c r="A242" i="3" s="1"/>
  <c r="B243" i="1"/>
  <c r="A243" i="1" s="1"/>
  <c r="A243" i="3" s="1"/>
  <c r="B244" i="1"/>
  <c r="B245" i="1"/>
  <c r="A245" i="1" s="1"/>
  <c r="A245" i="3" s="1"/>
  <c r="B246" i="1"/>
  <c r="A246" i="1" s="1"/>
  <c r="A246" i="3" s="1"/>
  <c r="B247" i="1"/>
  <c r="A247" i="1" s="1"/>
  <c r="A247" i="3" s="1"/>
  <c r="B248" i="1"/>
  <c r="A248" i="1" s="1"/>
  <c r="A248" i="3" s="1"/>
  <c r="B249" i="1"/>
  <c r="A249" i="1" s="1"/>
  <c r="A249" i="3" s="1"/>
  <c r="B250" i="1"/>
  <c r="A250" i="1" s="1"/>
  <c r="A250" i="3" s="1"/>
  <c r="B4" i="1"/>
  <c r="A4" i="1" s="1"/>
  <c r="A4" i="3" s="1"/>
  <c r="B5" i="1"/>
  <c r="A5" i="1" s="1"/>
  <c r="B6" i="1"/>
  <c r="A6" i="1" s="1"/>
  <c r="A6" i="3" s="1"/>
  <c r="A7" i="1"/>
  <c r="A7" i="3" s="1"/>
  <c r="B8" i="1"/>
  <c r="A8" i="1" s="1"/>
  <c r="A8" i="3" s="1"/>
  <c r="B9" i="1"/>
  <c r="A9" i="1" s="1"/>
  <c r="A9" i="3" s="1"/>
  <c r="A10" i="1"/>
  <c r="A10" i="3" s="1"/>
  <c r="B11" i="1"/>
  <c r="A11" i="1" s="1"/>
  <c r="B12" i="1"/>
  <c r="A12" i="1" s="1"/>
  <c r="A12" i="3" s="1"/>
  <c r="B13" i="1"/>
  <c r="A13" i="1" s="1"/>
  <c r="A13" i="3" s="1"/>
  <c r="B14" i="1"/>
  <c r="A14" i="1" s="1"/>
  <c r="A14" i="3" s="1"/>
  <c r="B15" i="1"/>
  <c r="B16" i="1"/>
  <c r="A16" i="1" s="1"/>
  <c r="A16" i="3" s="1"/>
  <c r="B17" i="1"/>
  <c r="A17" i="1" s="1"/>
  <c r="A17" i="3" s="1"/>
  <c r="B18" i="1"/>
  <c r="A18" i="1" s="1"/>
  <c r="A18" i="3" s="1"/>
  <c r="B19" i="1"/>
  <c r="A19" i="1" s="1"/>
  <c r="A19" i="3" s="1"/>
  <c r="B20" i="1"/>
  <c r="A20" i="1" s="1"/>
  <c r="A20" i="3" s="1"/>
  <c r="B21" i="1"/>
  <c r="A21" i="1" s="1"/>
  <c r="A21" i="3" s="1"/>
  <c r="B22" i="1"/>
  <c r="A22" i="1" s="1"/>
  <c r="A22" i="3" s="1"/>
  <c r="B23" i="1"/>
  <c r="A23" i="1" s="1"/>
  <c r="A23" i="3" s="1"/>
  <c r="B24" i="1"/>
  <c r="A24" i="1" s="1"/>
  <c r="A24" i="3" s="1"/>
  <c r="B25" i="1"/>
  <c r="A25" i="1" s="1"/>
  <c r="A25" i="3" s="1"/>
  <c r="B26" i="1"/>
  <c r="A26" i="1" s="1"/>
  <c r="A26" i="3" s="1"/>
  <c r="B27" i="1"/>
  <c r="A27" i="1" s="1"/>
  <c r="B28" i="1"/>
  <c r="A28" i="1" s="1"/>
  <c r="A28" i="3" s="1"/>
  <c r="B29" i="1"/>
  <c r="A29" i="1" s="1"/>
  <c r="A29" i="3" s="1"/>
  <c r="A30" i="1"/>
  <c r="A30" i="3" s="1"/>
  <c r="B32" i="1"/>
  <c r="A32" i="1" s="1"/>
  <c r="A32" i="3" s="1"/>
  <c r="B33" i="1"/>
  <c r="A33" i="1" s="1"/>
  <c r="A33" i="3" s="1"/>
  <c r="B34" i="1"/>
  <c r="A34" i="1" s="1"/>
  <c r="A34" i="3" s="1"/>
  <c r="B35" i="1"/>
  <c r="A35" i="1" s="1"/>
  <c r="A35" i="3" s="1"/>
  <c r="B36" i="1"/>
  <c r="A36" i="1" s="1"/>
  <c r="A36" i="3" s="1"/>
  <c r="B37" i="1"/>
  <c r="A37" i="1" s="1"/>
  <c r="A37" i="3" s="1"/>
  <c r="B38" i="1"/>
  <c r="A38" i="1" s="1"/>
  <c r="A38" i="3" s="1"/>
  <c r="B39" i="1"/>
  <c r="A39" i="1" s="1"/>
  <c r="B40" i="1"/>
  <c r="A40" i="1" s="1"/>
  <c r="A40" i="3" s="1"/>
  <c r="B41" i="1"/>
  <c r="A41" i="1" s="1"/>
  <c r="A41" i="3" s="1"/>
  <c r="B42" i="1"/>
  <c r="A42" i="1" s="1"/>
  <c r="A42" i="3" s="1"/>
  <c r="B43" i="1"/>
  <c r="A43" i="1" s="1"/>
  <c r="B44" i="1"/>
  <c r="A44" i="1" s="1"/>
  <c r="A44" i="3" s="1"/>
  <c r="B45" i="1"/>
  <c r="A45" i="1" s="1"/>
  <c r="A45" i="3" s="1"/>
  <c r="B46" i="1"/>
  <c r="A46" i="1" s="1"/>
  <c r="A46" i="3" s="1"/>
  <c r="B47" i="1"/>
  <c r="A47" i="1" s="1"/>
  <c r="B48" i="1"/>
  <c r="A48" i="1" s="1"/>
  <c r="A48" i="3" s="1"/>
  <c r="B49" i="1"/>
  <c r="A49" i="1" s="1"/>
  <c r="A49" i="3" s="1"/>
  <c r="B50" i="1"/>
  <c r="A50" i="1" s="1"/>
  <c r="A50" i="3" s="1"/>
  <c r="B51" i="1"/>
  <c r="A51" i="1" s="1"/>
  <c r="A51" i="3" s="1"/>
  <c r="B52" i="1"/>
  <c r="A52" i="1" s="1"/>
  <c r="A52" i="3" s="1"/>
  <c r="B53" i="1"/>
  <c r="A53" i="1" s="1"/>
  <c r="A53" i="3" s="1"/>
  <c r="B54" i="1"/>
  <c r="A54" i="1" s="1"/>
  <c r="A54" i="3" s="1"/>
  <c r="B55" i="1"/>
  <c r="A55" i="1" s="1"/>
  <c r="B56" i="1"/>
  <c r="A56" i="1" s="1"/>
  <c r="A56" i="3" s="1"/>
  <c r="B57" i="1"/>
  <c r="A57" i="1" s="1"/>
  <c r="A57" i="3" s="1"/>
  <c r="B58" i="1"/>
  <c r="A58" i="1" s="1"/>
  <c r="A58" i="3" s="1"/>
  <c r="B59" i="1"/>
  <c r="A59" i="1" s="1"/>
  <c r="B60" i="1"/>
  <c r="A60" i="1" s="1"/>
  <c r="A60" i="3" s="1"/>
  <c r="B61" i="1"/>
  <c r="A61" i="1" s="1"/>
  <c r="A61" i="3" s="1"/>
  <c r="B62" i="1"/>
  <c r="A62" i="1" s="1"/>
  <c r="A62" i="3" s="1"/>
  <c r="B63" i="1"/>
  <c r="A63" i="1" s="1"/>
  <c r="B64" i="1"/>
  <c r="A64" i="1" s="1"/>
  <c r="A64" i="3" s="1"/>
  <c r="B65" i="1"/>
  <c r="A65" i="1" s="1"/>
  <c r="A65" i="3" s="1"/>
  <c r="B66" i="1"/>
  <c r="A66" i="1" s="1"/>
  <c r="A66" i="3" s="1"/>
  <c r="B67" i="1"/>
  <c r="A67" i="1" s="1"/>
  <c r="A67" i="3" s="1"/>
  <c r="B68" i="1"/>
  <c r="A68" i="1" s="1"/>
  <c r="A68" i="3" s="1"/>
  <c r="B69" i="1"/>
  <c r="A69" i="1" s="1"/>
  <c r="A69" i="3" s="1"/>
  <c r="B70" i="1"/>
  <c r="A70" i="1" s="1"/>
  <c r="A70" i="3" s="1"/>
  <c r="B71" i="1"/>
  <c r="A71" i="1" s="1"/>
  <c r="B72" i="1"/>
  <c r="A72" i="1" s="1"/>
  <c r="A72" i="3" s="1"/>
  <c r="B73" i="1"/>
  <c r="A73" i="1" s="1"/>
  <c r="A73" i="3" s="1"/>
  <c r="B74" i="1"/>
  <c r="A74" i="1" s="1"/>
  <c r="A74" i="3" s="1"/>
  <c r="B75" i="1"/>
  <c r="A75" i="1" s="1"/>
  <c r="B76" i="1"/>
  <c r="A76" i="1" s="1"/>
  <c r="A76" i="3" s="1"/>
  <c r="B77" i="1"/>
  <c r="A77" i="1" s="1"/>
  <c r="A77" i="3" s="1"/>
  <c r="B78" i="1"/>
  <c r="A78" i="1" s="1"/>
  <c r="A78" i="3" s="1"/>
  <c r="B79" i="1"/>
  <c r="A79" i="1" s="1"/>
  <c r="B80" i="1"/>
  <c r="A80" i="1" s="1"/>
  <c r="A80" i="3" s="1"/>
  <c r="B81" i="1"/>
  <c r="A81" i="1" s="1"/>
  <c r="A81" i="3" s="1"/>
  <c r="B82" i="1"/>
  <c r="A82" i="1" s="1"/>
  <c r="A82" i="3" s="1"/>
  <c r="B83" i="1"/>
  <c r="A83" i="1" s="1"/>
  <c r="A83" i="3" s="1"/>
  <c r="B84" i="1"/>
  <c r="A84" i="1" s="1"/>
  <c r="A84" i="3" s="1"/>
  <c r="B85" i="1"/>
  <c r="A85" i="1" s="1"/>
  <c r="A85" i="3" s="1"/>
  <c r="B86" i="1"/>
  <c r="A86" i="1" s="1"/>
  <c r="A86" i="3" s="1"/>
  <c r="B87" i="1"/>
  <c r="A87" i="1" s="1"/>
  <c r="B88" i="1"/>
  <c r="A88" i="1" s="1"/>
  <c r="A88" i="3" s="1"/>
  <c r="B89" i="1"/>
  <c r="A89" i="1" s="1"/>
  <c r="A89" i="3" s="1"/>
  <c r="B90" i="1"/>
  <c r="A90" i="1" s="1"/>
  <c r="A90" i="3" s="1"/>
  <c r="B91" i="1"/>
  <c r="A91" i="1" s="1"/>
  <c r="B92" i="1"/>
  <c r="A92" i="1" s="1"/>
  <c r="A92" i="3" s="1"/>
  <c r="B93" i="1"/>
  <c r="A93" i="1" s="1"/>
  <c r="A93" i="3" s="1"/>
  <c r="B94" i="1"/>
  <c r="A94" i="1" s="1"/>
  <c r="A94" i="3" s="1"/>
  <c r="B95" i="1"/>
  <c r="A95" i="1" s="1"/>
  <c r="B96" i="1"/>
  <c r="A96" i="1" s="1"/>
  <c r="A96" i="3" s="1"/>
  <c r="B97" i="1"/>
  <c r="A97" i="1" s="1"/>
  <c r="A97" i="3" s="1"/>
  <c r="B98" i="1"/>
  <c r="A98" i="1" s="1"/>
  <c r="A98" i="3" s="1"/>
  <c r="B99" i="1"/>
  <c r="A99" i="1" s="1"/>
  <c r="A99" i="3" s="1"/>
  <c r="B100" i="1"/>
  <c r="A100" i="1" s="1"/>
  <c r="A100" i="3" s="1"/>
  <c r="B101" i="1"/>
  <c r="A101" i="1" s="1"/>
  <c r="A101" i="3" s="1"/>
  <c r="B102" i="1"/>
  <c r="A102" i="1" s="1"/>
  <c r="A102" i="3" s="1"/>
  <c r="B103" i="1"/>
  <c r="A103" i="1" s="1"/>
  <c r="B104" i="1"/>
  <c r="A104" i="1" s="1"/>
  <c r="A104" i="3" s="1"/>
  <c r="B105" i="1"/>
  <c r="A105" i="1" s="1"/>
  <c r="A105" i="3" s="1"/>
  <c r="B106" i="1"/>
  <c r="A106" i="1" s="1"/>
  <c r="A106" i="3" s="1"/>
  <c r="B107" i="1"/>
  <c r="A107" i="1" s="1"/>
  <c r="B108" i="1"/>
  <c r="A108" i="1" s="1"/>
  <c r="A108" i="3" s="1"/>
  <c r="B109" i="1"/>
  <c r="A109" i="1" s="1"/>
  <c r="A109" i="3" s="1"/>
  <c r="B110" i="1"/>
  <c r="A110" i="1" s="1"/>
  <c r="A110" i="3" s="1"/>
  <c r="B111" i="1"/>
  <c r="A111" i="1" s="1"/>
  <c r="B112" i="1"/>
  <c r="A112" i="1" s="1"/>
  <c r="A112" i="3" s="1"/>
  <c r="B113" i="1"/>
  <c r="A113" i="1" s="1"/>
  <c r="A113" i="3" s="1"/>
  <c r="B114" i="1"/>
  <c r="A114" i="1" s="1"/>
  <c r="A114" i="3" s="1"/>
  <c r="B115" i="1"/>
  <c r="A115" i="1" s="1"/>
  <c r="A115" i="3" s="1"/>
  <c r="B116" i="1"/>
  <c r="A116" i="1" s="1"/>
  <c r="A116" i="3" s="1"/>
  <c r="B117" i="1"/>
  <c r="A117" i="1" s="1"/>
  <c r="A117" i="3" s="1"/>
  <c r="B118" i="1"/>
  <c r="A118" i="1" s="1"/>
  <c r="A118" i="3" s="1"/>
  <c r="B119" i="1"/>
  <c r="A119" i="1" s="1"/>
  <c r="B120" i="1"/>
  <c r="A120" i="1" s="1"/>
  <c r="A120" i="3" s="1"/>
  <c r="B121" i="1"/>
  <c r="A121" i="1" s="1"/>
  <c r="A121" i="3" s="1"/>
  <c r="B122" i="1"/>
  <c r="A122" i="1" s="1"/>
  <c r="A122" i="3" s="1"/>
  <c r="B123" i="1"/>
  <c r="A123" i="1" s="1"/>
  <c r="B124" i="1"/>
  <c r="A124" i="1" s="1"/>
  <c r="A124" i="3" s="1"/>
  <c r="B125" i="1"/>
  <c r="A125" i="1" s="1"/>
  <c r="A125" i="3" s="1"/>
  <c r="B126" i="1"/>
  <c r="A126" i="1" s="1"/>
  <c r="A126" i="3" s="1"/>
  <c r="B127" i="1"/>
  <c r="B128" i="1"/>
  <c r="A128" i="1" s="1"/>
  <c r="A128" i="3" s="1"/>
  <c r="B129" i="1"/>
  <c r="A129" i="1" s="1"/>
  <c r="A129" i="3" s="1"/>
  <c r="B130" i="1"/>
  <c r="A130" i="1" s="1"/>
  <c r="A130" i="3" s="1"/>
  <c r="B131" i="1"/>
  <c r="A131" i="1" s="1"/>
  <c r="A131" i="3" s="1"/>
  <c r="B132" i="1"/>
  <c r="A132" i="1" s="1"/>
  <c r="A132" i="3" s="1"/>
  <c r="B133" i="1"/>
  <c r="A133" i="1" s="1"/>
  <c r="A133" i="3" s="1"/>
  <c r="B134" i="1"/>
  <c r="A134" i="1" s="1"/>
  <c r="A134" i="3" s="1"/>
  <c r="B135" i="1"/>
  <c r="A135" i="1" s="1"/>
  <c r="B136" i="1"/>
  <c r="A136" i="1" s="1"/>
  <c r="A136" i="3" s="1"/>
  <c r="B3" i="1"/>
  <c r="A3" i="1" s="1"/>
  <c r="A3" i="3" s="1"/>
  <c r="A2" i="1"/>
  <c r="A2" i="3" s="1"/>
  <c r="B251" i="1"/>
  <c r="A251" i="1" s="1"/>
  <c r="B252" i="1"/>
  <c r="B253" i="1"/>
  <c r="A253" i="1" s="1"/>
  <c r="A253" i="3" s="1"/>
  <c r="B254" i="1"/>
  <c r="A254" i="1" s="1"/>
  <c r="B255" i="1"/>
  <c r="A255" i="1" s="1"/>
  <c r="B256" i="1"/>
  <c r="B257" i="1"/>
  <c r="B258" i="1"/>
  <c r="A258" i="1" s="1"/>
  <c r="B259" i="1"/>
  <c r="A259" i="1" s="1"/>
  <c r="B260" i="1"/>
  <c r="B261" i="1"/>
  <c r="A261" i="1" s="1"/>
  <c r="A261" i="3" s="1"/>
  <c r="B262" i="1"/>
  <c r="A262" i="1" s="1"/>
  <c r="B263" i="1"/>
  <c r="A263" i="1" s="1"/>
  <c r="B264" i="1"/>
  <c r="B265" i="1"/>
  <c r="B266" i="1"/>
  <c r="A266" i="1" s="1"/>
  <c r="B267" i="1"/>
  <c r="A267" i="1" s="1"/>
  <c r="B268" i="1"/>
  <c r="B269" i="1"/>
  <c r="A269" i="1" s="1"/>
  <c r="A269" i="3" s="1"/>
  <c r="B270" i="1"/>
  <c r="A270" i="1" s="1"/>
  <c r="B271" i="1"/>
  <c r="A271" i="1" s="1"/>
  <c r="A271" i="3" s="1"/>
  <c r="B272" i="1"/>
  <c r="B273" i="1"/>
  <c r="B274" i="1"/>
  <c r="A274" i="1" s="1"/>
  <c r="B275" i="1"/>
  <c r="A275" i="1" s="1"/>
  <c r="A275" i="3" s="1"/>
  <c r="B276" i="1"/>
  <c r="B277" i="1"/>
  <c r="A277" i="1" s="1"/>
  <c r="A277" i="3" s="1"/>
  <c r="B278" i="1"/>
  <c r="A278" i="1" s="1"/>
  <c r="B279" i="1"/>
  <c r="A279" i="1" s="1"/>
  <c r="A279" i="3" s="1"/>
  <c r="B280" i="1"/>
  <c r="B281" i="1"/>
  <c r="B282" i="1"/>
  <c r="A282" i="1" s="1"/>
  <c r="B283" i="1"/>
  <c r="A283" i="1" s="1"/>
  <c r="A283" i="3" s="1"/>
  <c r="B284" i="1"/>
  <c r="B285" i="1"/>
  <c r="A285" i="1" s="1"/>
  <c r="A285" i="3" s="1"/>
  <c r="B286" i="1"/>
  <c r="A286" i="1" s="1"/>
  <c r="B287" i="1"/>
  <c r="A287" i="1" s="1"/>
  <c r="A287" i="3" s="1"/>
  <c r="B288" i="1"/>
  <c r="B289" i="1"/>
  <c r="A289" i="1" s="1"/>
  <c r="A289" i="3" s="1"/>
  <c r="B290" i="1"/>
  <c r="A290" i="1" s="1"/>
  <c r="B291" i="1"/>
  <c r="A291" i="1" s="1"/>
  <c r="A291" i="3" s="1"/>
  <c r="B292" i="1"/>
  <c r="B293" i="1"/>
  <c r="B294" i="1"/>
  <c r="A294" i="1" s="1"/>
  <c r="B295" i="1"/>
  <c r="A295" i="1" s="1"/>
  <c r="B296" i="1"/>
  <c r="B297" i="1"/>
  <c r="B298" i="1"/>
  <c r="A298" i="1" s="1"/>
  <c r="A298" i="3" s="1"/>
  <c r="B299" i="1"/>
  <c r="A299" i="1" s="1"/>
  <c r="A299" i="3" s="1"/>
  <c r="B300" i="1"/>
  <c r="B301" i="1"/>
  <c r="A301" i="1" s="1"/>
  <c r="A301" i="3" s="1"/>
  <c r="B302" i="1"/>
  <c r="A302" i="1" s="1"/>
  <c r="B303" i="1"/>
  <c r="B304" i="1"/>
  <c r="B305" i="1"/>
  <c r="A305" i="1" s="1"/>
  <c r="A305" i="3" s="1"/>
  <c r="B306" i="1"/>
  <c r="A306" i="1" s="1"/>
  <c r="B307" i="1"/>
  <c r="A307" i="1" s="1"/>
  <c r="A307" i="3" s="1"/>
  <c r="B308" i="1"/>
  <c r="B309" i="1"/>
  <c r="B310" i="1"/>
  <c r="A310" i="1" s="1"/>
  <c r="B311" i="1"/>
  <c r="A311" i="1" s="1"/>
  <c r="A311" i="3" s="1"/>
  <c r="B312" i="1"/>
  <c r="B313" i="1"/>
  <c r="B314" i="1"/>
  <c r="A314" i="1" s="1"/>
  <c r="B315" i="1"/>
  <c r="A315" i="1" s="1"/>
  <c r="A315" i="3" s="1"/>
  <c r="B316" i="1"/>
  <c r="B317" i="1"/>
  <c r="B318" i="1"/>
  <c r="A318" i="1" s="1"/>
  <c r="B319" i="1"/>
  <c r="A319" i="1" s="1"/>
  <c r="A319" i="3" s="1"/>
  <c r="B320" i="1"/>
  <c r="B321" i="1"/>
  <c r="A321" i="1" s="1"/>
  <c r="A321" i="3" s="1"/>
  <c r="B322" i="1"/>
  <c r="A322" i="1" s="1"/>
  <c r="B323" i="1"/>
  <c r="A323" i="1" s="1"/>
  <c r="A323" i="3" s="1"/>
  <c r="B324" i="1"/>
  <c r="B325" i="1"/>
  <c r="A325" i="1" s="1"/>
  <c r="A325" i="3" s="1"/>
  <c r="B326" i="1"/>
  <c r="A326" i="1" s="1"/>
  <c r="B327" i="1"/>
  <c r="A327" i="1" s="1"/>
  <c r="A327" i="3" s="1"/>
  <c r="B328" i="1"/>
  <c r="B329" i="1"/>
  <c r="B330" i="1"/>
  <c r="A330" i="1" s="1"/>
  <c r="B331" i="1"/>
  <c r="A331" i="1" s="1"/>
  <c r="A331" i="3" s="1"/>
  <c r="B332" i="1"/>
  <c r="B333" i="1"/>
  <c r="B334" i="1"/>
  <c r="A334" i="1" s="1"/>
  <c r="B335" i="1"/>
  <c r="A335" i="1" s="1"/>
  <c r="A335" i="3" s="1"/>
  <c r="B336" i="1"/>
  <c r="B337" i="1"/>
  <c r="A337" i="1" s="1"/>
  <c r="A337" i="3" s="1"/>
  <c r="B338" i="1"/>
  <c r="A338" i="1" s="1"/>
  <c r="A338" i="3" s="1"/>
  <c r="B339" i="1"/>
  <c r="A339" i="1" s="1"/>
  <c r="A339" i="3" s="1"/>
  <c r="B340" i="1"/>
  <c r="B341" i="1"/>
  <c r="B342" i="1"/>
  <c r="A342" i="1" s="1"/>
  <c r="B343" i="1"/>
  <c r="A343" i="1" s="1"/>
  <c r="A343" i="3" s="1"/>
  <c r="B344" i="1"/>
  <c r="B345" i="1"/>
  <c r="B346" i="1"/>
  <c r="A346" i="1" s="1"/>
  <c r="B347" i="1"/>
  <c r="A347" i="1" s="1"/>
  <c r="A347" i="3" s="1"/>
  <c r="B348" i="1"/>
  <c r="B349" i="1"/>
  <c r="B350" i="1"/>
  <c r="A350" i="1" s="1"/>
  <c r="B351" i="1"/>
  <c r="A351" i="1" s="1"/>
  <c r="A351" i="3" s="1"/>
  <c r="B352" i="1"/>
  <c r="B353" i="1"/>
  <c r="A353" i="1" s="1"/>
  <c r="A353" i="3" s="1"/>
  <c r="B354" i="1"/>
  <c r="A354" i="1" s="1"/>
  <c r="B355" i="1"/>
  <c r="A355" i="1" s="1"/>
  <c r="A355" i="3" s="1"/>
  <c r="B356" i="1"/>
  <c r="B357" i="1"/>
  <c r="B358" i="1"/>
  <c r="A358" i="1" s="1"/>
  <c r="B359" i="1"/>
  <c r="A359" i="1" s="1"/>
  <c r="A359" i="3" s="1"/>
  <c r="B360" i="1"/>
  <c r="B361" i="1"/>
  <c r="B362" i="1"/>
  <c r="A362" i="1" s="1"/>
  <c r="B363" i="1"/>
  <c r="A363" i="1" s="1"/>
  <c r="A363" i="3" s="1"/>
  <c r="B364" i="1"/>
  <c r="B365" i="1"/>
  <c r="B366" i="1"/>
  <c r="A366" i="1" s="1"/>
  <c r="B367" i="1"/>
  <c r="A367" i="1" s="1"/>
  <c r="A367" i="3" s="1"/>
  <c r="B368" i="1"/>
  <c r="B369" i="1"/>
  <c r="B370" i="1"/>
  <c r="A370" i="1" s="1"/>
  <c r="B371" i="1"/>
  <c r="A371" i="1" s="1"/>
  <c r="A371" i="3" s="1"/>
  <c r="B372" i="1"/>
  <c r="A372" i="1" s="1"/>
  <c r="A372" i="3" s="1"/>
  <c r="B373" i="1"/>
  <c r="B374" i="1"/>
  <c r="A374" i="1" s="1"/>
  <c r="B375" i="1"/>
  <c r="A375" i="1" s="1"/>
  <c r="A375" i="3" s="1"/>
  <c r="B376" i="1"/>
  <c r="B377" i="1"/>
  <c r="B378" i="1"/>
  <c r="A378" i="1" s="1"/>
  <c r="B379" i="1"/>
  <c r="A379" i="1" s="1"/>
  <c r="A379" i="3" s="1"/>
  <c r="B380" i="1"/>
  <c r="B381" i="1"/>
  <c r="A381" i="1" s="1"/>
  <c r="A381" i="3" s="1"/>
  <c r="B382" i="1"/>
  <c r="A382" i="1" s="1"/>
  <c r="B383" i="1"/>
  <c r="A383" i="1" s="1"/>
  <c r="A383" i="3" s="1"/>
  <c r="B384" i="1"/>
  <c r="A384" i="1" s="1"/>
  <c r="A384" i="3" s="1"/>
  <c r="B385" i="1"/>
  <c r="B386" i="1"/>
  <c r="B387" i="1"/>
  <c r="A387" i="1" s="1"/>
  <c r="A387" i="3" s="1"/>
  <c r="B388" i="1"/>
  <c r="A388" i="1" s="1"/>
  <c r="A388" i="3" s="1"/>
  <c r="B389" i="1"/>
  <c r="B390" i="1"/>
  <c r="A390" i="1" s="1"/>
  <c r="B391" i="1"/>
  <c r="A391" i="1" s="1"/>
  <c r="A391" i="3" s="1"/>
  <c r="B392" i="1"/>
  <c r="A392" i="1" s="1"/>
  <c r="A392" i="3" s="1"/>
  <c r="B393" i="1"/>
  <c r="B394" i="1"/>
  <c r="A394" i="1" s="1"/>
  <c r="B395" i="1"/>
  <c r="A395" i="1" s="1"/>
  <c r="A395" i="3" s="1"/>
  <c r="B396" i="1"/>
  <c r="A396" i="1" s="1"/>
  <c r="A396" i="3" s="1"/>
  <c r="B397" i="1"/>
  <c r="A397" i="1" s="1"/>
  <c r="A397" i="3" s="1"/>
  <c r="B398" i="1"/>
  <c r="A398" i="1" s="1"/>
  <c r="B399" i="1"/>
  <c r="A399" i="1" s="1"/>
  <c r="A399" i="3" s="1"/>
  <c r="B400" i="1"/>
  <c r="A400" i="1" s="1"/>
  <c r="A400" i="3" s="1"/>
  <c r="B401" i="1"/>
  <c r="B402" i="1"/>
  <c r="B403" i="1"/>
  <c r="A403" i="1" s="1"/>
  <c r="A403" i="3" s="1"/>
  <c r="B404" i="1"/>
  <c r="A404" i="1" s="1"/>
  <c r="A404" i="3" s="1"/>
  <c r="B405" i="1"/>
  <c r="B406" i="1"/>
  <c r="A406" i="1" s="1"/>
  <c r="B407" i="1"/>
  <c r="A407" i="1" s="1"/>
  <c r="A407" i="3" s="1"/>
  <c r="B408" i="1"/>
  <c r="A408" i="1" s="1"/>
  <c r="A408" i="3" s="1"/>
  <c r="B409" i="1"/>
  <c r="A409" i="1" s="1"/>
  <c r="A409" i="3" s="1"/>
  <c r="B410" i="1"/>
  <c r="A410" i="1" s="1"/>
  <c r="B411" i="1"/>
  <c r="A411" i="1" s="1"/>
  <c r="A411" i="3" s="1"/>
  <c r="B412" i="1"/>
  <c r="A412" i="1" s="1"/>
  <c r="A412" i="3" s="1"/>
  <c r="B413" i="1"/>
  <c r="B414" i="1"/>
  <c r="A414" i="1" s="1"/>
  <c r="B415" i="1"/>
  <c r="A415" i="1" s="1"/>
  <c r="A415" i="3" s="1"/>
  <c r="B416" i="1"/>
  <c r="A416" i="1" s="1"/>
  <c r="A416" i="3" s="1"/>
  <c r="B417" i="1"/>
  <c r="B418" i="1"/>
  <c r="B419" i="1"/>
  <c r="A419" i="1" s="1"/>
  <c r="A419" i="3" s="1"/>
  <c r="B420" i="1"/>
  <c r="A420" i="1" s="1"/>
  <c r="A420" i="3" s="1"/>
  <c r="B421" i="1"/>
  <c r="B422" i="1"/>
  <c r="A422" i="1" s="1"/>
  <c r="B423" i="1"/>
  <c r="A423" i="1" s="1"/>
  <c r="A423" i="3" s="1"/>
  <c r="B424" i="1"/>
  <c r="A424" i="1" s="1"/>
  <c r="A424" i="3" s="1"/>
  <c r="B425" i="1"/>
  <c r="A425" i="1" s="1"/>
  <c r="A425" i="3" s="1"/>
  <c r="B426" i="1"/>
  <c r="A426" i="1" s="1"/>
  <c r="B427" i="1"/>
  <c r="A427" i="1" s="1"/>
  <c r="A427" i="3" s="1"/>
  <c r="B428" i="1"/>
  <c r="A428" i="1" s="1"/>
  <c r="A428" i="3" s="1"/>
  <c r="B429" i="1"/>
  <c r="B430" i="1"/>
  <c r="A430" i="1" s="1"/>
  <c r="A430" i="3" s="1"/>
  <c r="B431" i="1"/>
  <c r="A431" i="1" s="1"/>
  <c r="A431" i="3" s="1"/>
  <c r="B432" i="1"/>
  <c r="A432" i="1" s="1"/>
  <c r="A432" i="3" s="1"/>
  <c r="B433" i="1"/>
  <c r="B434" i="1"/>
  <c r="B435" i="1"/>
  <c r="A435" i="1" s="1"/>
  <c r="A435" i="3" s="1"/>
  <c r="B436" i="1"/>
  <c r="A436" i="1" s="1"/>
  <c r="A436" i="3" s="1"/>
  <c r="B437" i="1"/>
  <c r="A437" i="1" s="1"/>
  <c r="A437" i="3" s="1"/>
  <c r="B438" i="1"/>
  <c r="A438" i="1" s="1"/>
  <c r="B439" i="1"/>
  <c r="A439" i="1" s="1"/>
  <c r="A439" i="3" s="1"/>
  <c r="B440" i="1"/>
  <c r="A440" i="1" s="1"/>
  <c r="B441" i="1"/>
  <c r="B442" i="1"/>
  <c r="A442" i="1" s="1"/>
  <c r="B443" i="1"/>
  <c r="A443" i="1" s="1"/>
  <c r="A443" i="3" s="1"/>
  <c r="B444" i="1"/>
  <c r="A444" i="1" s="1"/>
  <c r="B445" i="1"/>
  <c r="B446" i="1"/>
  <c r="A446" i="1" s="1"/>
  <c r="B447" i="1"/>
  <c r="A447" i="1" s="1"/>
  <c r="A447" i="3" s="1"/>
  <c r="B448" i="1"/>
  <c r="A448" i="1" s="1"/>
  <c r="B449" i="1"/>
  <c r="B450" i="1"/>
  <c r="A450" i="1" s="1"/>
  <c r="B451" i="1"/>
  <c r="A451" i="1" s="1"/>
  <c r="A451" i="3" s="1"/>
  <c r="B452" i="1"/>
  <c r="A452" i="1" s="1"/>
  <c r="B453" i="1"/>
  <c r="A453" i="1" s="1"/>
  <c r="A453" i="3" s="1"/>
  <c r="B454" i="1"/>
  <c r="A454" i="1" s="1"/>
  <c r="B455" i="1"/>
  <c r="A455" i="1" s="1"/>
  <c r="A455" i="3" s="1"/>
  <c r="B456" i="1"/>
  <c r="A456" i="1" s="1"/>
  <c r="B457" i="1"/>
  <c r="B458" i="1"/>
  <c r="A458" i="1" s="1"/>
  <c r="B459" i="1"/>
  <c r="A459" i="1" s="1"/>
  <c r="A459" i="3" s="1"/>
  <c r="B460" i="1"/>
  <c r="A460" i="1" s="1"/>
  <c r="B461" i="1"/>
  <c r="B462" i="1"/>
  <c r="A462" i="1" s="1"/>
  <c r="A462" i="3" s="1"/>
  <c r="B463" i="1"/>
  <c r="A463" i="1" s="1"/>
  <c r="A463" i="3" s="1"/>
  <c r="B464" i="1"/>
  <c r="A464" i="1" s="1"/>
  <c r="B465" i="1"/>
  <c r="A465" i="1" s="1"/>
  <c r="A465" i="3" s="1"/>
  <c r="B466" i="1"/>
  <c r="A466" i="1" s="1"/>
  <c r="A466" i="3" s="1"/>
  <c r="B467" i="1"/>
  <c r="A467" i="1" s="1"/>
  <c r="A467" i="3" s="1"/>
  <c r="B468" i="1"/>
  <c r="A468" i="1" s="1"/>
  <c r="B469" i="1"/>
  <c r="B470" i="1"/>
  <c r="A470" i="1" s="1"/>
  <c r="A470" i="3" s="1"/>
  <c r="B471" i="1"/>
  <c r="A471" i="1" s="1"/>
  <c r="A471" i="3" s="1"/>
  <c r="B472" i="1"/>
  <c r="B473" i="1"/>
  <c r="B474" i="1"/>
  <c r="A474" i="1" s="1"/>
  <c r="A474" i="3" s="1"/>
  <c r="B475" i="1"/>
  <c r="A475" i="1" s="1"/>
  <c r="A475" i="3" s="1"/>
  <c r="B476" i="1"/>
  <c r="A476" i="1" s="1"/>
  <c r="A476" i="3" s="1"/>
  <c r="B477" i="1"/>
  <c r="B478" i="1"/>
  <c r="A478" i="1" s="1"/>
  <c r="A478" i="3" s="1"/>
  <c r="B479" i="1"/>
  <c r="A479" i="1" s="1"/>
  <c r="A479" i="3" s="1"/>
  <c r="B480" i="1"/>
  <c r="A480" i="1" s="1"/>
  <c r="B481" i="1"/>
  <c r="A481" i="1" s="1"/>
  <c r="A481" i="3" s="1"/>
  <c r="B482" i="1"/>
  <c r="A482" i="1" s="1"/>
  <c r="A482" i="3" s="1"/>
  <c r="B483" i="1"/>
  <c r="A483" i="1" s="1"/>
  <c r="A483" i="3" s="1"/>
  <c r="B484" i="1"/>
  <c r="A484" i="1" s="1"/>
  <c r="B485" i="1"/>
  <c r="B486" i="1"/>
  <c r="A486" i="1" s="1"/>
  <c r="A486" i="3" s="1"/>
  <c r="B487" i="1"/>
  <c r="A487" i="1" s="1"/>
  <c r="A487" i="3" s="1"/>
  <c r="B488" i="1"/>
  <c r="B489" i="1"/>
  <c r="B490" i="1"/>
  <c r="A490" i="1" s="1"/>
  <c r="A490" i="3" s="1"/>
  <c r="B491" i="1"/>
  <c r="A491" i="1" s="1"/>
  <c r="A491" i="3" s="1"/>
  <c r="B492" i="1"/>
  <c r="A492" i="1" s="1"/>
  <c r="B493" i="1"/>
  <c r="B494" i="1"/>
  <c r="A494" i="1" s="1"/>
  <c r="A494" i="3" s="1"/>
  <c r="B495" i="1"/>
  <c r="A495" i="1" s="1"/>
  <c r="A495" i="3" s="1"/>
  <c r="B496" i="1"/>
  <c r="A496" i="1" s="1"/>
  <c r="B497" i="1"/>
  <c r="B498" i="1"/>
  <c r="A498" i="1" s="1"/>
  <c r="A498" i="3" s="1"/>
  <c r="B499" i="1"/>
  <c r="A499" i="1" s="1"/>
  <c r="A499" i="3" s="1"/>
  <c r="B500" i="1"/>
  <c r="A500" i="1" s="1"/>
  <c r="B501" i="1"/>
  <c r="B502" i="1"/>
  <c r="A502" i="3" s="1"/>
  <c r="B503" i="1"/>
  <c r="A503" i="3" s="1"/>
  <c r="B504" i="1"/>
  <c r="A504" i="3" s="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D30" i="1"/>
  <c r="A30" i="8" s="1"/>
  <c r="D3" i="1"/>
  <c r="A3" i="8" s="1"/>
  <c r="D4" i="1"/>
  <c r="A4" i="8" s="1"/>
  <c r="D5" i="1"/>
  <c r="A5" i="8" s="1"/>
  <c r="A6" i="8"/>
  <c r="D7" i="1"/>
  <c r="A7" i="8" s="1"/>
  <c r="D8" i="1"/>
  <c r="A8" i="8" s="1"/>
  <c r="D9" i="1"/>
  <c r="A9" i="8" s="1"/>
  <c r="D10" i="1"/>
  <c r="A10" i="8"/>
  <c r="D11" i="1"/>
  <c r="A11" i="8" s="1"/>
  <c r="D12" i="1"/>
  <c r="A12" i="8"/>
  <c r="D13" i="1"/>
  <c r="A13" i="8" s="1"/>
  <c r="D14" i="1"/>
  <c r="A14" i="8"/>
  <c r="D15" i="1"/>
  <c r="A15" i="8" s="1"/>
  <c r="D16" i="1"/>
  <c r="A16" i="8"/>
  <c r="D17" i="1"/>
  <c r="A17" i="8" s="1"/>
  <c r="D18" i="1"/>
  <c r="A18" i="8"/>
  <c r="D19" i="1"/>
  <c r="A19" i="8" s="1"/>
  <c r="D20" i="1"/>
  <c r="A20" i="8"/>
  <c r="D21" i="1"/>
  <c r="A21" i="8" s="1"/>
  <c r="D22" i="1"/>
  <c r="A22" i="8"/>
  <c r="D23" i="1"/>
  <c r="A23" i="8" s="1"/>
  <c r="D24" i="1"/>
  <c r="A24" i="8" s="1"/>
  <c r="D25" i="1"/>
  <c r="A25" i="8"/>
  <c r="D26" i="1"/>
  <c r="A26" i="8" s="1"/>
  <c r="D27" i="1"/>
  <c r="A27" i="8"/>
  <c r="D28" i="1"/>
  <c r="A28" i="8" s="1"/>
  <c r="D29" i="1"/>
  <c r="A29" i="8"/>
  <c r="D31" i="1"/>
  <c r="A31" i="8" s="1"/>
  <c r="D32" i="1"/>
  <c r="A32" i="8" s="1"/>
  <c r="D33" i="1"/>
  <c r="A33" i="8" s="1"/>
  <c r="D34" i="1"/>
  <c r="A34" i="8" s="1"/>
  <c r="D35" i="1"/>
  <c r="A35" i="8" s="1"/>
  <c r="D36" i="1"/>
  <c r="A36" i="8" s="1"/>
  <c r="D37" i="1"/>
  <c r="A37" i="8" s="1"/>
  <c r="D38" i="1"/>
  <c r="A38" i="8" s="1"/>
  <c r="D39" i="1"/>
  <c r="A39" i="8" s="1"/>
  <c r="D40" i="1"/>
  <c r="A40" i="8" s="1"/>
  <c r="D41" i="1"/>
  <c r="A41" i="8"/>
  <c r="D42" i="1"/>
  <c r="A42" i="8" s="1"/>
  <c r="D43" i="1"/>
  <c r="A43" i="8"/>
  <c r="D44" i="1"/>
  <c r="A44" i="8" s="1"/>
  <c r="D45" i="1"/>
  <c r="A45" i="8"/>
  <c r="D46" i="1"/>
  <c r="A46" i="8" s="1"/>
  <c r="D47" i="1"/>
  <c r="A47" i="8" s="1"/>
  <c r="D48" i="1"/>
  <c r="A48" i="8" s="1"/>
  <c r="D49" i="1"/>
  <c r="A49" i="8" s="1"/>
  <c r="D50" i="1"/>
  <c r="A50" i="8"/>
  <c r="D51" i="1"/>
  <c r="A51" i="8" s="1"/>
  <c r="D52" i="1"/>
  <c r="A52" i="8" s="1"/>
  <c r="D53" i="1"/>
  <c r="A53" i="8"/>
  <c r="D54" i="1"/>
  <c r="A54" i="8" s="1"/>
  <c r="D55" i="1"/>
  <c r="A55" i="8"/>
  <c r="D56" i="1"/>
  <c r="A56" i="8" s="1"/>
  <c r="D57" i="1"/>
  <c r="A57" i="8"/>
  <c r="D58" i="1"/>
  <c r="A58" i="8" s="1"/>
  <c r="D59" i="1"/>
  <c r="A59" i="8"/>
  <c r="D60" i="1"/>
  <c r="A60" i="8"/>
  <c r="D61" i="1"/>
  <c r="A61" i="8"/>
  <c r="D62" i="1"/>
  <c r="A62" i="8"/>
  <c r="D2" i="1"/>
  <c r="A2" i="8"/>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A257" i="1"/>
  <c r="A257" i="3" s="1"/>
  <c r="D257" i="1"/>
  <c r="D258" i="1"/>
  <c r="D259" i="1"/>
  <c r="D260" i="1"/>
  <c r="D261" i="1"/>
  <c r="D262" i="1"/>
  <c r="D263" i="1"/>
  <c r="D264" i="1"/>
  <c r="A265" i="1"/>
  <c r="A265" i="3" s="1"/>
  <c r="D265" i="1"/>
  <c r="D266" i="1"/>
  <c r="D267" i="1"/>
  <c r="D268" i="1"/>
  <c r="D269" i="1"/>
  <c r="D270" i="1"/>
  <c r="D271" i="1"/>
  <c r="D272" i="1"/>
  <c r="A273" i="1"/>
  <c r="A273" i="3" s="1"/>
  <c r="D273" i="1"/>
  <c r="D274" i="1"/>
  <c r="D275" i="1"/>
  <c r="D276" i="1"/>
  <c r="D277" i="1"/>
  <c r="D278" i="1"/>
  <c r="D279" i="1"/>
  <c r="D280" i="1"/>
  <c r="A281" i="1"/>
  <c r="A281" i="3" s="1"/>
  <c r="D281" i="1"/>
  <c r="D282" i="1"/>
  <c r="D283" i="1"/>
  <c r="D284" i="1"/>
  <c r="D285" i="1"/>
  <c r="D286" i="1"/>
  <c r="D287" i="1"/>
  <c r="D288" i="1"/>
  <c r="D289" i="1"/>
  <c r="D290" i="1"/>
  <c r="D291" i="1"/>
  <c r="D292" i="1"/>
  <c r="A293" i="1"/>
  <c r="A293" i="3" s="1"/>
  <c r="D293" i="1"/>
  <c r="D294" i="1"/>
  <c r="D295" i="1"/>
  <c r="D296" i="1"/>
  <c r="A297" i="1"/>
  <c r="A297" i="3" s="1"/>
  <c r="D297" i="1"/>
  <c r="D298" i="1"/>
  <c r="D299" i="1"/>
  <c r="D300" i="1"/>
  <c r="D301" i="1"/>
  <c r="D302" i="1"/>
  <c r="A303" i="1"/>
  <c r="A303" i="3" s="1"/>
  <c r="D303" i="1"/>
  <c r="D304" i="1"/>
  <c r="D305" i="1"/>
  <c r="D306" i="1"/>
  <c r="D307" i="1"/>
  <c r="D308" i="1"/>
  <c r="A309" i="1"/>
  <c r="A309" i="3" s="1"/>
  <c r="D309" i="1"/>
  <c r="D310" i="1"/>
  <c r="D311" i="1"/>
  <c r="D312" i="1"/>
  <c r="A313" i="1"/>
  <c r="A313" i="3" s="1"/>
  <c r="D313" i="1"/>
  <c r="D314" i="1"/>
  <c r="D315" i="1"/>
  <c r="D316" i="1"/>
  <c r="A317" i="1"/>
  <c r="A317" i="3" s="1"/>
  <c r="D317" i="1"/>
  <c r="D318" i="1"/>
  <c r="D319" i="1"/>
  <c r="D320" i="1"/>
  <c r="D321" i="1"/>
  <c r="D322" i="1"/>
  <c r="D323" i="1"/>
  <c r="D324" i="1"/>
  <c r="D325" i="1"/>
  <c r="D326" i="1"/>
  <c r="D327" i="1"/>
  <c r="D328" i="1"/>
  <c r="A329" i="1"/>
  <c r="A329" i="3" s="1"/>
  <c r="D329" i="1"/>
  <c r="D330" i="1"/>
  <c r="D331" i="1"/>
  <c r="D332" i="1"/>
  <c r="A333" i="1"/>
  <c r="A333" i="3" s="1"/>
  <c r="D333" i="1"/>
  <c r="D334" i="1"/>
  <c r="D335" i="1"/>
  <c r="D336" i="1"/>
  <c r="D337" i="1"/>
  <c r="D338" i="1"/>
  <c r="D339" i="1"/>
  <c r="D340" i="1"/>
  <c r="A341" i="1"/>
  <c r="A341" i="3" s="1"/>
  <c r="D341" i="1"/>
  <c r="D342" i="1"/>
  <c r="D343" i="1"/>
  <c r="D344" i="1"/>
  <c r="A345" i="1"/>
  <c r="A345" i="3" s="1"/>
  <c r="D345" i="1"/>
  <c r="D346" i="1"/>
  <c r="D347" i="1"/>
  <c r="D348" i="1"/>
  <c r="A349" i="1"/>
  <c r="A349" i="3" s="1"/>
  <c r="D349" i="1"/>
  <c r="D350" i="1"/>
  <c r="D351" i="1"/>
  <c r="D352" i="1"/>
  <c r="D353" i="1"/>
  <c r="D354" i="1"/>
  <c r="D355" i="1"/>
  <c r="D356" i="1"/>
  <c r="A357" i="1"/>
  <c r="A357" i="3" s="1"/>
  <c r="D357" i="1"/>
  <c r="D358" i="1"/>
  <c r="D359" i="1"/>
  <c r="D360" i="1"/>
  <c r="A361" i="1"/>
  <c r="A361" i="3" s="1"/>
  <c r="D361" i="1"/>
  <c r="D362" i="1"/>
  <c r="D363" i="1"/>
  <c r="D364" i="1"/>
  <c r="A365" i="1"/>
  <c r="A365" i="3" s="1"/>
  <c r="D365" i="1"/>
  <c r="D366" i="1"/>
  <c r="D367" i="1"/>
  <c r="D368" i="1"/>
  <c r="A369" i="1"/>
  <c r="A369" i="3" s="1"/>
  <c r="D369" i="1"/>
  <c r="D370" i="1"/>
  <c r="D371" i="1"/>
  <c r="D372" i="1"/>
  <c r="A373" i="1"/>
  <c r="A373" i="3" s="1"/>
  <c r="D373" i="1"/>
  <c r="D374" i="1"/>
  <c r="D375" i="1"/>
  <c r="D376" i="1"/>
  <c r="A377" i="1"/>
  <c r="A377" i="3" s="1"/>
  <c r="D377" i="1"/>
  <c r="D378" i="1"/>
  <c r="D379" i="1"/>
  <c r="D380" i="1"/>
  <c r="D381" i="1"/>
  <c r="D382" i="1"/>
  <c r="D383" i="1"/>
  <c r="D384" i="1"/>
  <c r="A385" i="1"/>
  <c r="D385" i="1"/>
  <c r="D386" i="1"/>
  <c r="D387" i="1"/>
  <c r="D388" i="1"/>
  <c r="A389" i="1"/>
  <c r="A389" i="3" s="1"/>
  <c r="D389" i="1"/>
  <c r="D390" i="1"/>
  <c r="D391" i="1"/>
  <c r="D392" i="1"/>
  <c r="A393" i="1"/>
  <c r="A393" i="3" s="1"/>
  <c r="D393" i="1"/>
  <c r="D394" i="1"/>
  <c r="D395" i="1"/>
  <c r="D396" i="1"/>
  <c r="D397" i="1"/>
  <c r="D398" i="1"/>
  <c r="D399" i="1"/>
  <c r="D400" i="1"/>
  <c r="A401" i="1"/>
  <c r="A401" i="3" s="1"/>
  <c r="D401" i="1"/>
  <c r="D402" i="1"/>
  <c r="D403" i="1"/>
  <c r="D404" i="1"/>
  <c r="A405" i="1"/>
  <c r="A405" i="3" s="1"/>
  <c r="D405" i="1"/>
  <c r="D406" i="1"/>
  <c r="D407" i="1"/>
  <c r="D408" i="1"/>
  <c r="D409" i="1"/>
  <c r="D410" i="1"/>
  <c r="D411" i="1"/>
  <c r="D412" i="1"/>
  <c r="A413" i="1"/>
  <c r="A413" i="3" s="1"/>
  <c r="D413" i="1"/>
  <c r="D414" i="1"/>
  <c r="D415" i="1"/>
  <c r="D416" i="1"/>
  <c r="A417" i="1"/>
  <c r="A417" i="3" s="1"/>
  <c r="D417" i="1"/>
  <c r="D418" i="1"/>
  <c r="D419" i="1"/>
  <c r="D420" i="1"/>
  <c r="A421" i="1"/>
  <c r="A421" i="3" s="1"/>
  <c r="D421" i="1"/>
  <c r="D422" i="1"/>
  <c r="D423" i="1"/>
  <c r="D424" i="1"/>
  <c r="D425" i="1"/>
  <c r="D426" i="1"/>
  <c r="D427" i="1"/>
  <c r="D428" i="1"/>
  <c r="A429" i="1"/>
  <c r="A429" i="3" s="1"/>
  <c r="D429" i="1"/>
  <c r="D430" i="1"/>
  <c r="D431" i="1"/>
  <c r="D432" i="1"/>
  <c r="A433" i="1"/>
  <c r="A433" i="3" s="1"/>
  <c r="D433" i="1"/>
  <c r="D434" i="1"/>
  <c r="D435" i="1"/>
  <c r="D436" i="1"/>
  <c r="D437" i="1"/>
  <c r="D438" i="1"/>
  <c r="D439" i="1"/>
  <c r="D440" i="1"/>
  <c r="A441" i="1"/>
  <c r="D441" i="1"/>
  <c r="D442" i="1"/>
  <c r="D443" i="1"/>
  <c r="D444" i="1"/>
  <c r="A445" i="1"/>
  <c r="A445" i="3" s="1"/>
  <c r="D445" i="1"/>
  <c r="D446" i="1"/>
  <c r="D447" i="1"/>
  <c r="D448" i="1"/>
  <c r="A449" i="1"/>
  <c r="A449" i="3" s="1"/>
  <c r="D449" i="1"/>
  <c r="D450" i="1"/>
  <c r="D451" i="1"/>
  <c r="D452" i="1"/>
  <c r="D453" i="1"/>
  <c r="D454" i="1"/>
  <c r="D455" i="1"/>
  <c r="D456" i="1"/>
  <c r="A457" i="1"/>
  <c r="A457" i="3" s="1"/>
  <c r="D457" i="1"/>
  <c r="D458" i="1"/>
  <c r="D459" i="1"/>
  <c r="D460" i="1"/>
  <c r="A461" i="1"/>
  <c r="A461" i="3" s="1"/>
  <c r="D461" i="1"/>
  <c r="D462" i="1"/>
  <c r="D463" i="1"/>
  <c r="D464" i="1"/>
  <c r="D465" i="1"/>
  <c r="D466" i="1"/>
  <c r="D467" i="1"/>
  <c r="D468" i="1"/>
  <c r="A469" i="1"/>
  <c r="A469" i="3" s="1"/>
  <c r="D469" i="1"/>
  <c r="D470" i="1"/>
  <c r="D471" i="1"/>
  <c r="D472" i="1"/>
  <c r="A473" i="1"/>
  <c r="A473" i="3" s="1"/>
  <c r="D473" i="1"/>
  <c r="D474" i="1"/>
  <c r="D475" i="1"/>
  <c r="D476" i="1"/>
  <c r="A477" i="1"/>
  <c r="A477" i="3" s="1"/>
  <c r="D477" i="1"/>
  <c r="D478" i="1"/>
  <c r="D479" i="1"/>
  <c r="D480" i="1"/>
  <c r="D481" i="1"/>
  <c r="D482" i="1"/>
  <c r="D483" i="1"/>
  <c r="D484" i="1"/>
  <c r="A485" i="1"/>
  <c r="A485" i="3" s="1"/>
  <c r="D485" i="1"/>
  <c r="D486" i="1"/>
  <c r="D487" i="1"/>
  <c r="D488" i="1"/>
  <c r="A489" i="1"/>
  <c r="A489" i="3" s="1"/>
  <c r="D489" i="1"/>
  <c r="D490" i="1"/>
  <c r="D491" i="1"/>
  <c r="D492" i="1"/>
  <c r="A493" i="1"/>
  <c r="A493" i="3" s="1"/>
  <c r="D493" i="1"/>
  <c r="D494" i="1"/>
  <c r="D495" i="1"/>
  <c r="D496" i="1"/>
  <c r="A497" i="1"/>
  <c r="A497" i="3" s="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A501" i="3"/>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3" i="6"/>
  <c r="F2" i="6"/>
  <c r="E2" i="6"/>
  <c r="D2" i="6"/>
  <c r="C2"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3" i="6"/>
  <c r="B4" i="6"/>
  <c r="B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2" i="6"/>
  <c r="F3" i="6"/>
  <c r="A3" i="4"/>
  <c r="A4" i="4"/>
  <c r="A5" i="4"/>
  <c r="A6" i="4"/>
  <c r="A8" i="4"/>
  <c r="A9" i="4"/>
  <c r="A10" i="4"/>
  <c r="A11" i="4"/>
  <c r="A12" i="4"/>
  <c r="A13" i="4"/>
  <c r="A14" i="4"/>
  <c r="A15" i="4"/>
  <c r="A16" i="4"/>
  <c r="A19" i="4"/>
  <c r="A20" i="4"/>
  <c r="A21" i="4"/>
  <c r="A23" i="4"/>
  <c r="A25" i="4"/>
  <c r="A26" i="4"/>
  <c r="A27" i="4"/>
  <c r="A28" i="4"/>
  <c r="A29" i="4"/>
  <c r="A30" i="4"/>
  <c r="A31" i="4"/>
  <c r="A32" i="4"/>
  <c r="A34" i="4"/>
  <c r="A35" i="4"/>
  <c r="A37" i="4"/>
  <c r="A2" i="4"/>
  <c r="A267" i="3" l="1"/>
  <c r="A259" i="3"/>
  <c r="A314" i="3"/>
  <c r="A441" i="3"/>
  <c r="A385" i="3"/>
  <c r="A366" i="3"/>
  <c r="A354" i="3"/>
  <c r="A274" i="3"/>
  <c r="A258" i="3"/>
  <c r="A346" i="3"/>
  <c r="A330" i="3"/>
  <c r="A290" i="3"/>
  <c r="A382" i="3"/>
  <c r="A374" i="3"/>
  <c r="A362" i="3"/>
  <c r="A322" i="3"/>
  <c r="A306" i="3"/>
  <c r="A282" i="3"/>
  <c r="A266" i="3"/>
  <c r="A103" i="3"/>
  <c r="A295" i="3"/>
  <c r="A263" i="3"/>
  <c r="A255" i="3"/>
  <c r="A251" i="3"/>
  <c r="A152" i="3"/>
  <c r="A135" i="3"/>
  <c r="A398" i="3"/>
  <c r="A71" i="3"/>
  <c r="A39" i="3"/>
  <c r="A163" i="3"/>
  <c r="A350" i="3"/>
  <c r="A334" i="3"/>
  <c r="A318" i="3"/>
  <c r="A302" i="3"/>
  <c r="A286" i="3"/>
  <c r="A270" i="3"/>
  <c r="A254" i="3"/>
  <c r="A458" i="3"/>
  <c r="A450" i="3"/>
  <c r="A442" i="3"/>
  <c r="A422" i="3"/>
  <c r="A390" i="3"/>
  <c r="A480" i="3"/>
  <c r="A119" i="3"/>
  <c r="A55" i="3"/>
  <c r="A5" i="3"/>
  <c r="A199" i="3"/>
  <c r="A183" i="3"/>
  <c r="A160" i="1"/>
  <c r="A160" i="3" s="1"/>
  <c r="A151" i="3"/>
  <c r="A143" i="3"/>
  <c r="A370" i="3"/>
  <c r="A358" i="3"/>
  <c r="A342" i="3"/>
  <c r="A326" i="3"/>
  <c r="A310" i="3"/>
  <c r="A294" i="3"/>
  <c r="A278" i="3"/>
  <c r="A262" i="3"/>
  <c r="A456" i="3"/>
  <c r="A448" i="3"/>
  <c r="A440" i="3"/>
  <c r="A426" i="3"/>
  <c r="A394" i="3"/>
  <c r="A484" i="3"/>
  <c r="A87" i="3"/>
  <c r="A240" i="3"/>
  <c r="A224" i="3"/>
  <c r="A207" i="3"/>
  <c r="A191" i="3"/>
  <c r="A175" i="3"/>
  <c r="A167" i="3"/>
  <c r="A27" i="3"/>
  <c r="A159" i="3"/>
  <c r="A472" i="1"/>
  <c r="A472" i="3" s="1"/>
  <c r="A378" i="3"/>
  <c r="A460" i="3"/>
  <c r="A454" i="3"/>
  <c r="A444" i="3"/>
  <c r="A438" i="3"/>
  <c r="A410" i="3"/>
  <c r="A500" i="3"/>
  <c r="A492" i="3"/>
  <c r="A464" i="3"/>
  <c r="A127" i="1"/>
  <c r="A127" i="3" s="1"/>
  <c r="A434" i="1"/>
  <c r="A434" i="3" s="1"/>
  <c r="A418" i="1"/>
  <c r="A418" i="3" s="1"/>
  <c r="A402" i="1"/>
  <c r="A402" i="3" s="1"/>
  <c r="A386" i="1"/>
  <c r="A386" i="3" s="1"/>
  <c r="A452" i="3"/>
  <c r="A446" i="3"/>
  <c r="A414" i="3"/>
  <c r="A406" i="3"/>
  <c r="A496" i="3"/>
  <c r="A468" i="3"/>
  <c r="A488" i="1"/>
  <c r="A488" i="3" s="1"/>
  <c r="A380" i="1"/>
  <c r="A380" i="3" s="1"/>
  <c r="A376" i="1"/>
  <c r="A376" i="3" s="1"/>
  <c r="A368" i="1"/>
  <c r="A368" i="3" s="1"/>
  <c r="A364" i="1"/>
  <c r="A364" i="3" s="1"/>
  <c r="A360" i="1"/>
  <c r="A360" i="3" s="1"/>
  <c r="A356" i="1"/>
  <c r="A356" i="3" s="1"/>
  <c r="A352" i="1"/>
  <c r="A352" i="3" s="1"/>
  <c r="A348" i="1"/>
  <c r="A348" i="3" s="1"/>
  <c r="A344" i="1"/>
  <c r="A344" i="3" s="1"/>
  <c r="A340" i="1"/>
  <c r="A340" i="3" s="1"/>
  <c r="A336" i="1"/>
  <c r="A336" i="3" s="1"/>
  <c r="A332" i="1"/>
  <c r="A332" i="3" s="1"/>
  <c r="A328" i="1"/>
  <c r="A328" i="3" s="1"/>
  <c r="A324" i="1"/>
  <c r="A324" i="3" s="1"/>
  <c r="A320" i="1"/>
  <c r="A320" i="3" s="1"/>
  <c r="A316" i="1"/>
  <c r="A316" i="3" s="1"/>
  <c r="A312" i="1"/>
  <c r="A312" i="3" s="1"/>
  <c r="A308" i="1"/>
  <c r="A308" i="3" s="1"/>
  <c r="A304" i="1"/>
  <c r="A304" i="3" s="1"/>
  <c r="A300" i="1"/>
  <c r="A300" i="3" s="1"/>
  <c r="A296" i="1"/>
  <c r="A296" i="3" s="1"/>
  <c r="A292" i="1"/>
  <c r="A292" i="3" s="1"/>
  <c r="A288" i="1"/>
  <c r="A288" i="3" s="1"/>
  <c r="A284" i="1"/>
  <c r="A284" i="3" s="1"/>
  <c r="A280" i="1"/>
  <c r="A280" i="3" s="1"/>
  <c r="A276" i="1"/>
  <c r="A276" i="3" s="1"/>
  <c r="A272" i="1"/>
  <c r="A272" i="3" s="1"/>
  <c r="A268" i="1"/>
  <c r="A268" i="3" s="1"/>
  <c r="A264" i="1"/>
  <c r="A264" i="3" s="1"/>
  <c r="A260" i="1"/>
  <c r="A260" i="3" s="1"/>
  <c r="A256" i="1"/>
  <c r="A256" i="3" s="1"/>
  <c r="A252" i="1"/>
  <c r="A252" i="3" s="1"/>
  <c r="A107" i="3"/>
  <c r="A95" i="3"/>
  <c r="A75" i="3"/>
  <c r="A63" i="3"/>
  <c r="A43" i="3"/>
  <c r="A31" i="1"/>
  <c r="A31" i="3" s="1"/>
  <c r="A244" i="1"/>
  <c r="A244" i="3" s="1"/>
  <c r="A15" i="1"/>
  <c r="A15" i="3" s="1"/>
  <c r="A123" i="3"/>
  <c r="A111" i="3"/>
  <c r="A91" i="3"/>
  <c r="A79" i="3"/>
  <c r="A59" i="3"/>
  <c r="A47" i="3"/>
  <c r="A11" i="3"/>
  <c r="A228" i="3"/>
  <c r="A212" i="3"/>
  <c r="A204" i="3"/>
  <c r="A196" i="3"/>
  <c r="A188" i="3"/>
  <c r="A180" i="3"/>
  <c r="A172" i="3"/>
  <c r="A164" i="3"/>
  <c r="A156" i="3"/>
  <c r="A148" i="3"/>
  <c r="A140" i="3"/>
</calcChain>
</file>

<file path=xl/sharedStrings.xml><?xml version="1.0" encoding="utf-8"?>
<sst xmlns="http://schemas.openxmlformats.org/spreadsheetml/2006/main" count="589" uniqueCount="429">
  <si>
    <t>Green Hills</t>
  </si>
  <si>
    <t>Old Hickory</t>
  </si>
  <si>
    <t>Richland Park</t>
  </si>
  <si>
    <t>Hermitage</t>
  </si>
  <si>
    <t>Bordeaux</t>
  </si>
  <si>
    <t>Goodlettsville</t>
  </si>
  <si>
    <t>Bellevue</t>
  </si>
  <si>
    <t>Edmondson Pike</t>
  </si>
  <si>
    <t>Madison</t>
  </si>
  <si>
    <t>Hadley Park</t>
  </si>
  <si>
    <t>Southeast</t>
  </si>
  <si>
    <t>Pruitt</t>
  </si>
  <si>
    <t>Inglewood</t>
  </si>
  <si>
    <t>North</t>
  </si>
  <si>
    <t>Edgehill</t>
  </si>
  <si>
    <t>Donelson</t>
  </si>
  <si>
    <t>East</t>
  </si>
  <si>
    <t>Looby</t>
  </si>
  <si>
    <t>Watkins Park</t>
  </si>
  <si>
    <t>Teens</t>
  </si>
  <si>
    <t>Thompson Lane</t>
  </si>
  <si>
    <t>Story Time</t>
  </si>
  <si>
    <t>All Libraries</t>
  </si>
  <si>
    <t>2a3e9efe-3c2427a1-013c-2601c6ba-0000143c</t>
  </si>
  <si>
    <t>Art Gallery - Main Library</t>
  </si>
  <si>
    <t>2a3e9efe-334bc29f-0133-a9378235-00005a04</t>
  </si>
  <si>
    <t>Auditorium - Main Library</t>
  </si>
  <si>
    <t>2a3e9efe-334bc29f-0133-a93807ea-00005a07</t>
  </si>
  <si>
    <t>2a3e9efe-334bc29f-0133-60d0fb08-0000312d</t>
  </si>
  <si>
    <t>2a3e9efe-334bc29f-0133-60db5b10-00003130</t>
  </si>
  <si>
    <t>Children's Services - Main Library</t>
  </si>
  <si>
    <t>2a3e9efe-334bc29f-0133-a93bda81-00005a10</t>
  </si>
  <si>
    <t>Children's Theater - Main</t>
  </si>
  <si>
    <t>2a3e9efe-334bc29f-0133-60df3bc1-0000313c</t>
  </si>
  <si>
    <t>Civil Rights Room - Main Library</t>
  </si>
  <si>
    <t>2a3e9efe-334bc29f-0133-a9336f71-000059ce</t>
  </si>
  <si>
    <t>Computer Classroom - Main Library</t>
  </si>
  <si>
    <t>2a3e9efe-334bc29f-0133-a932e954-000059cb</t>
  </si>
  <si>
    <t>Conference Center - Main Library</t>
  </si>
  <si>
    <t>2a3e9efe-334bc29f-0133-a937b5b3-00005a05</t>
  </si>
  <si>
    <t>Courtyard Gallery - Main Library</t>
  </si>
  <si>
    <t>2a3e9efe-334bc29f-0133-a9334283-000059cd</t>
  </si>
  <si>
    <t>Courtyard - Main Library</t>
  </si>
  <si>
    <t>2a3e9efe-334bc29f-0133-a9331c63-000059cc</t>
  </si>
  <si>
    <t>deleted</t>
  </si>
  <si>
    <t>00f1fcdb-0f068baf-010f-068baf7c-00000002</t>
  </si>
  <si>
    <t>2a3e9efe-334bc29f-0133-60db9ea8-00003131</t>
  </si>
  <si>
    <t>2a3e9efe-334bc29f-0133-60dbefac-00003132</t>
  </si>
  <si>
    <t>East Reading Room - Main Library</t>
  </si>
  <si>
    <t>2a3e9efe-334bc29f-0133-a93560e7-00005a03</t>
  </si>
  <si>
    <t>2a3e9efe-334bc29f-0133-60dc31ae-00003133</t>
  </si>
  <si>
    <t>00f1fcec-0f0c4c90-010f-0c4d6762-00000004</t>
  </si>
  <si>
    <t>2a3e9efe-334bc29f-0133-60dc5cbb-00003134</t>
  </si>
  <si>
    <t>Grand Reading Room - Main Library</t>
  </si>
  <si>
    <t>2a3e9efe-3948a864-0139-4ed4066c-00002a8d</t>
  </si>
  <si>
    <t>2a3e9efe-334bc29f-0133-60dd0f5b-00003135</t>
  </si>
  <si>
    <t>2a3e9efe-334bc29f-0133-60dd7261-00003136</t>
  </si>
  <si>
    <t>2a3e9efe-334bc29f-0133-60dd95d3-00003137</t>
  </si>
  <si>
    <t>2a3e9efe-334bc29f-0133-60ddd7ca-00003138</t>
  </si>
  <si>
    <t>Library Administration - Main Library</t>
  </si>
  <si>
    <t>2a3e9efe-334bc29f-0133-a93a9230-00005a0d</t>
  </si>
  <si>
    <t>2a3e9efe-334bc29f-0133-60de0cb5-0000313a</t>
  </si>
  <si>
    <t>2a3e9efe-334bc29f-0133-60df2492-0000313b</t>
  </si>
  <si>
    <t>Metro Archives</t>
  </si>
  <si>
    <t>2a3e9efe-334bc29f-0133-60df7d1d-0000313d</t>
  </si>
  <si>
    <t>my location</t>
  </si>
  <si>
    <t>00f1fcdb-0f068baf-010f-068baf7f-00000003</t>
  </si>
  <si>
    <t>Nashville Room - Main Library</t>
  </si>
  <si>
    <t>2a3e9efe-334bc29f-0133-a93b277f-00005a0f</t>
  </si>
  <si>
    <t>2a3e9efe-334bc29f-0133-60dfc8fd-0000313e</t>
  </si>
  <si>
    <t>off-site</t>
  </si>
  <si>
    <t>2a3e9efe-35b9565d-0135-ca4173ae-0000480b</t>
  </si>
  <si>
    <t>2a3e9efe-334bc29f-0133-60dfe911-0000313f</t>
  </si>
  <si>
    <t>Popular Materials - Main Library</t>
  </si>
  <si>
    <t>2a3e9efe-3d448e41-013d-471b5e46-0000109a</t>
  </si>
  <si>
    <t>2a3e9efe-334bc29f-0133-60e00af5-00003140</t>
  </si>
  <si>
    <t>2a3e9efe-334bc29f-0133-60e033af-00003141</t>
  </si>
  <si>
    <t>2a3e9efe-334bc29f-0133-60e05a47-00003142</t>
  </si>
  <si>
    <t>Special Collections Center - Main Library</t>
  </si>
  <si>
    <t>2a3e9efe-334bc29f-0133-a93906e3-00005a0a</t>
  </si>
  <si>
    <t>Teen Services - Main Library</t>
  </si>
  <si>
    <t>2a3e9efe-334bc29f-0133-a9399fcc-00005a0b</t>
  </si>
  <si>
    <t>Third Floor Program Room - Main Library</t>
  </si>
  <si>
    <t>2a3e9efe-334bc29f-0133-a939e229-00005a0c</t>
  </si>
  <si>
    <t>2a3e9efe-334bc29f-0133-60e07904-00003143</t>
  </si>
  <si>
    <t>unknown</t>
  </si>
  <si>
    <t>00f1fcdb-0f068baf-010f-068baf75-00000001</t>
  </si>
  <si>
    <t>2a3e9efe-334bc29f-0133-60e09b6e-00003144</t>
  </si>
  <si>
    <t>West Reading Room - Main Library</t>
  </si>
  <si>
    <t>2a3e9efe-334bc29f-0133-a92f4170-000059c9</t>
  </si>
  <si>
    <t>LOCATION LABEL</t>
  </si>
  <si>
    <t>LOCATION BEDEWORK UID</t>
  </si>
  <si>
    <t>Bellevue Library</t>
  </si>
  <si>
    <t>2a3e9efe-334bc29f-0133-c66b1c6c-00007f4b</t>
  </si>
  <si>
    <t>Bordeaux Library</t>
  </si>
  <si>
    <t>2a3e9efe-334bc29f-0133-c6674ddc-00007f3e</t>
  </si>
  <si>
    <t>Children's Services, Main Library</t>
  </si>
  <si>
    <t>2a3e9efe-334bc29f-0133-c6692b44-00007f43</t>
  </si>
  <si>
    <t>Conference Center</t>
  </si>
  <si>
    <t>2a3e9efe-334bc29f-0133-c669799a-00007f44</t>
  </si>
  <si>
    <t>Deaf &amp;amp; Hard of Hearing</t>
  </si>
  <si>
    <t>2a3e9efe-334bc29f-0133-c66f5730-00007f5b</t>
  </si>
  <si>
    <t>Donelson Library</t>
  </si>
  <si>
    <t>2a3e9efe-334bc29f-0133-c66b54c5-00007f4c</t>
  </si>
  <si>
    <t>East Library</t>
  </si>
  <si>
    <t>2a3e9efe-334bc29f-0133-c66b9fea-00007f4d</t>
  </si>
  <si>
    <t>Edgehill Library</t>
  </si>
  <si>
    <t>2a3e9efe-334bc29f-0133-c66bde75-00007f4e</t>
  </si>
  <si>
    <t>Edmondson Pike Library</t>
  </si>
  <si>
    <t>2a3e9efe-334bc29f-0133-c667e6e0-00007f3f</t>
  </si>
  <si>
    <t>Goodlettsville Library</t>
  </si>
  <si>
    <t>2a3e9efe-334bc29f-0133-a96515dd-00005a85</t>
  </si>
  <si>
    <t>Green Hills Library</t>
  </si>
  <si>
    <t>2a3e9efe-334bc29f-0133-c6683118-00007f40</t>
  </si>
  <si>
    <t>Hadley Park Library</t>
  </si>
  <si>
    <t>2a3e9efe-334bc29f-0133-c66c2cf4-00007f4f</t>
  </si>
  <si>
    <t>Hermitage Library</t>
  </si>
  <si>
    <t>2a3e9efe-334bc29f-0133-c668b33b-00007f41</t>
  </si>
  <si>
    <t>Inglewood Library</t>
  </si>
  <si>
    <t>2a3e9efe-334bc29f-0133-c66c8885-00007f50</t>
  </si>
  <si>
    <t>Looby Library</t>
  </si>
  <si>
    <t>2a3e9efe-334bc29f-0133-c66cc4fb-00007f51</t>
  </si>
  <si>
    <t>Madison Library</t>
  </si>
  <si>
    <t>2a3e9efe-334bc29f-0133-c668f67d-00007f42</t>
  </si>
  <si>
    <t>2a3e9efe-334bc29f-0133-c66f23ca-00007f5a</t>
  </si>
  <si>
    <t>Nashville Public Library</t>
  </si>
  <si>
    <t>2a3e9efe-334bc29f-0133-c66a42d7-00007f47</t>
  </si>
  <si>
    <t>North Library</t>
  </si>
  <si>
    <t>2a3e9efe-334bc29f-0133-c66cf82c-00007f52</t>
  </si>
  <si>
    <t>Old Hickory Library</t>
  </si>
  <si>
    <t>2a3e9efe-334bc29f-0133-c66d9300-00007f53</t>
  </si>
  <si>
    <t>Popular Materials, Main Library</t>
  </si>
  <si>
    <t>2a3e9efe-334bc29f-0133-c669af70-00007f45</t>
  </si>
  <si>
    <t>Pruitt Library</t>
  </si>
  <si>
    <t>2a3e9efe-334bc29f-0133-c66dcc28-00007f54</t>
  </si>
  <si>
    <t>Public Relations</t>
  </si>
  <si>
    <t>2a3e9efe-334bc29f-0133-c67383da-00007f61</t>
  </si>
  <si>
    <t>Richland Park Library</t>
  </si>
  <si>
    <t>2a3e9efe-334bc29f-0133-c66e00e8-00007f55</t>
  </si>
  <si>
    <t>Southeast Library</t>
  </si>
  <si>
    <t>2a3e9efe-334bc29f-0133-c66e3a69-00007f56</t>
  </si>
  <si>
    <t>Special Collections</t>
  </si>
  <si>
    <t>2a3e9efe-334bc29f-0133-c66a8fc7-00007f48</t>
  </si>
  <si>
    <t>Teen Services, Main Library</t>
  </si>
  <si>
    <t>2a3e9efe-334bc29f-0133-c66ad5ef-00007f49</t>
  </si>
  <si>
    <t>Thompson Lane Library</t>
  </si>
  <si>
    <t>2a3e9efe-334bc29f-0133-c66e666a-00007f57</t>
  </si>
  <si>
    <t>Watkins Park Library</t>
  </si>
  <si>
    <t>2a3e9efe-334bc29f-0133-c66ea1a2-00007f58</t>
  </si>
  <si>
    <t>CONTACT LABEL</t>
  </si>
  <si>
    <t>CONTACT BEDEWORK UID</t>
  </si>
  <si>
    <t>CONTACT LABEL MINUS LIBRARY</t>
  </si>
  <si>
    <t>Adult Crafts</t>
  </si>
  <si>
    <t>2a3e9efe-334bc29f-0133-f15025d1-00001dfa</t>
  </si>
  <si>
    <t>Arts &amp; Crafts</t>
  </si>
  <si>
    <t>ff808181-1fd7389e-011f-d7389ecc-00000001</t>
  </si>
  <si>
    <t>Authors</t>
  </si>
  <si>
    <t>ff808181-1fd73b03-011f-d73b06f8-0000000c</t>
  </si>
  <si>
    <t>Book Clubs</t>
  </si>
  <si>
    <t>402881e6-20a21413-0120-a23d71e5-00000015</t>
  </si>
  <si>
    <t>Books &amp; Authors</t>
  </si>
  <si>
    <t>ff808181-1fd7389e-011f-d7389f4b-00000018</t>
  </si>
  <si>
    <t>Business</t>
  </si>
  <si>
    <t>2a3e9efe-334bc29f-0133-f14fa578-00001df6</t>
  </si>
  <si>
    <t>ff808181-1fd7389e-011f-d7389f33-00000012</t>
  </si>
  <si>
    <t>Classes and Workshops</t>
  </si>
  <si>
    <t>2a3e9efe-334bc29f-0133-f14f0dfc-00001df4</t>
  </si>
  <si>
    <t>Computers</t>
  </si>
  <si>
    <t>2a3e9efe-334bc29f-0133-f14ece3f-00001df3</t>
  </si>
  <si>
    <t>Dance</t>
  </si>
  <si>
    <t>ff808181-1fd7389e-011f-d7389ef9-00000003</t>
  </si>
  <si>
    <t>Exhibits</t>
  </si>
  <si>
    <t>ff808181-1fd7389e-011f-d7389eff-00000004</t>
  </si>
  <si>
    <t>Featured</t>
  </si>
  <si>
    <t>2a3e9efe-35dd67b8-0135-f8474b67-00005c80</t>
  </si>
  <si>
    <t>Gaming</t>
  </si>
  <si>
    <t>2a3e9efe-334bc29f-0133-bc503697-0000762d</t>
  </si>
  <si>
    <t>Health</t>
  </si>
  <si>
    <t>2a3e9efe-35dd67b8-0135-e8eb41e5-000012f4</t>
  </si>
  <si>
    <t>Home and Garden</t>
  </si>
  <si>
    <t>2a3e9efe-3ea8ac68-013e-aa095a3d-00001595</t>
  </si>
  <si>
    <t>Jobs</t>
  </si>
  <si>
    <t>2a3e9efe-334bc29f-0133-f15087f5-00001dfb</t>
  </si>
  <si>
    <t>2a3e9efe-334bc29f-0133-79b8367c-00003687</t>
  </si>
  <si>
    <t>location/Bordeaux</t>
  </si>
  <si>
    <t>2a3e9efe-334bc29f-0133-79b8a609-00003688</t>
  </si>
  <si>
    <t>location/Donelson</t>
  </si>
  <si>
    <t>2a3e9efe-334bc29f-0133-79b91de3-00003689</t>
  </si>
  <si>
    <t>402881e6-20a21413-0120-a248f865-00000020</t>
  </si>
  <si>
    <t>location/Edgehill</t>
  </si>
  <si>
    <t>2a3e9efe-334bc29f-0133-c7e475fa-0000017e</t>
  </si>
  <si>
    <t>location/Edmondson Pike</t>
  </si>
  <si>
    <t>2a3e9efe-334bc29f-0133-79b97775-0000368a</t>
  </si>
  <si>
    <t>location/Goodlettsville</t>
  </si>
  <si>
    <t>2a3e9efe-334bc29f-0133-79bb8e0d-0000368b</t>
  </si>
  <si>
    <t>location/Green Hills</t>
  </si>
  <si>
    <t>2a3e9efe-334bc29f-0133-79bc5a9d-0000368c</t>
  </si>
  <si>
    <t>location/Hadley Park</t>
  </si>
  <si>
    <t>2a3e9efe-334bc29f-0133-79bd46a4-0000368e</t>
  </si>
  <si>
    <t>location/Hermitage</t>
  </si>
  <si>
    <t>2a3e9efe-334bc29f-0133-79bdb314-0000368f</t>
  </si>
  <si>
    <t>location/Inglewood</t>
  </si>
  <si>
    <t>2a3e9efe-334bc29f-0133-79be1a6a-00003690</t>
  </si>
  <si>
    <t>location/Looby</t>
  </si>
  <si>
    <t>402881e6-20a21413-0120-a247d070-0000001f</t>
  </si>
  <si>
    <t>location/Madison</t>
  </si>
  <si>
    <t>2a3e9efe-334bc29f-0133-79be9732-00003691</t>
  </si>
  <si>
    <t>location/Main (Downtown)</t>
  </si>
  <si>
    <t>ff808181-1fd7389e-011f-d7389fa2-00000028</t>
  </si>
  <si>
    <t>location/Metro Archives</t>
  </si>
  <si>
    <t>2a3e9efe-334bc29f-0133-79befbc0-00003692</t>
  </si>
  <si>
    <t>location/North</t>
  </si>
  <si>
    <t>00f1fcb8-20a5687f-0120-a573f575-0000003e</t>
  </si>
  <si>
    <t>location/Old Hickory</t>
  </si>
  <si>
    <t>402881e6-20a21413-0120-a24bfbc2-00000057</t>
  </si>
  <si>
    <t>location/Pruitt</t>
  </si>
  <si>
    <t>2a3e9efe-334bc29f-0133-79bfb656-00003693</t>
  </si>
  <si>
    <t>location/Richland Park</t>
  </si>
  <si>
    <t>2a3e9efe-334bc29f-0133-79c02159-00003694</t>
  </si>
  <si>
    <t>location/Southeast</t>
  </si>
  <si>
    <t>2a3e9efe-334bc29f-0133-79c0df84-00003695</t>
  </si>
  <si>
    <t>location/Thompson Lane</t>
  </si>
  <si>
    <t>2a3e9efe-334bc29f-0133-79c130b9-00003696</t>
  </si>
  <si>
    <t>location/Watkins Park</t>
  </si>
  <si>
    <t>402881e6-20a21413-0120-a24c742e-00000058</t>
  </si>
  <si>
    <t>Locations</t>
  </si>
  <si>
    <t>ff808181-1fd7389e-011f-d7389f24-0000000e</t>
  </si>
  <si>
    <t>Marionettes</t>
  </si>
  <si>
    <t>ff808181-1fd7389e-011f-d7389ed0-00000002</t>
  </si>
  <si>
    <t>Movies</t>
  </si>
  <si>
    <t>ff808181-1fd7389e-011f-d7389f02-00000005</t>
  </si>
  <si>
    <t>Music</t>
  </si>
  <si>
    <t>402881e6-20a21413-0120-a24bc8db-00000056</t>
  </si>
  <si>
    <t>Performing Arts</t>
  </si>
  <si>
    <t>ff808181-1fd73b03-011f-d73b0642-00000001</t>
  </si>
  <si>
    <t>Personal Finance</t>
  </si>
  <si>
    <t>2a3e9efe-334bc29f-0133-f14fd5fa-00001df8</t>
  </si>
  <si>
    <t>Receptions</t>
  </si>
  <si>
    <t>ff808181-1fd7389e-011f-d7389f80-0000001f</t>
  </si>
  <si>
    <t>Sale</t>
  </si>
  <si>
    <t>2a3e9efe-34870943-0134-8a28d156-00000286</t>
  </si>
  <si>
    <t>School</t>
  </si>
  <si>
    <t>2a3e9efe-334bc29f-0133-f150031d-00001df9</t>
  </si>
  <si>
    <t>Series</t>
  </si>
  <si>
    <t>ff808181-1fd73b03-011f-d73b066b-00000004</t>
  </si>
  <si>
    <t>series/Artober</t>
  </si>
  <si>
    <t>2a3e9efe-3948a864-0139-58c00d23-00006346</t>
  </si>
  <si>
    <t>series/Classical Guitar</t>
  </si>
  <si>
    <t>2a3e9efe-3948a864-0139-58cae8e7-000063e9</t>
  </si>
  <si>
    <t>series/Closed</t>
  </si>
  <si>
    <t>2a3e9efe-38d85c92-0138-d88f7223-000001ea</t>
  </si>
  <si>
    <t>series/Community Cinema</t>
  </si>
  <si>
    <t>2a3e9efe-334bc29f-0133-7a022101-000036ce</t>
  </si>
  <si>
    <t>series/Community of Many Faces</t>
  </si>
  <si>
    <t>2a3e9efe-35dd67b8-0135-e8e17628-000012e4</t>
  </si>
  <si>
    <t>series/Concerts in the Courtyard</t>
  </si>
  <si>
    <t>2a3e9efe-334bc29f-0133-7a0374b5-000036d0</t>
  </si>
  <si>
    <t>series/Holiday</t>
  </si>
  <si>
    <t>ff808181-1fd7389e-011f-d7389f47-00000017</t>
  </si>
  <si>
    <t>series/Move It March</t>
  </si>
  <si>
    <t>2a3e9efe-3c9a9aa5-013c-a72aa11e-00006faf</t>
  </si>
  <si>
    <t>series/Movies @ Main</t>
  </si>
  <si>
    <t>2a3e9efe-334bc29f-0133-7a02c06c-000036cf</t>
  </si>
  <si>
    <t>series/Nashville Reads</t>
  </si>
  <si>
    <t>2a3e9efe-3c9a9aa5-013c-a71c2016-00006c0b</t>
  </si>
  <si>
    <t>series/Night at the Library</t>
  </si>
  <si>
    <t>ff808181-1fd7389e-011f-d7389f38-00000013</t>
  </si>
  <si>
    <t>series/Salon@615</t>
  </si>
  <si>
    <t>2a3e9efe-334bc29f-0133-7a04041e-000036d1</t>
  </si>
  <si>
    <t>series/Summer Reading</t>
  </si>
  <si>
    <t>2a3e9efe-3c9a9aa5-013c-a733b8e3-00007021</t>
  </si>
  <si>
    <t>series/Thinking Out of the Lunch Box</t>
  </si>
  <si>
    <t>2a3e9efe-39249ad8-0139-45fd718a-0000434b</t>
  </si>
  <si>
    <t>series/Wishing Chair Productions</t>
  </si>
  <si>
    <t>2a3e9efe-334bc29f-0133-7a00e56f-000036cc</t>
  </si>
  <si>
    <t>series/Writers Circle</t>
  </si>
  <si>
    <t>2a3e9efe-36fd9107-0137-13d788c9-00006c25</t>
  </si>
  <si>
    <t>Snacks</t>
  </si>
  <si>
    <t>2a3e9efe-334bc29f-0133-bc4ef48c-0000762a</t>
  </si>
  <si>
    <t>402881e6-20a21413-0120-a23e31ea-00000016</t>
  </si>
  <si>
    <t>sys/Ongoing</t>
  </si>
  <si>
    <t>402881e7-25b99d14-0125-b9a50c22-00000002</t>
  </si>
  <si>
    <t>Teen Crafts</t>
  </si>
  <si>
    <t>2a3e9efe-334bc29f-0133-bc4fcd2f-0000762c</t>
  </si>
  <si>
    <t>2a3e9efe-334bc29f-0133-79d748a2-000036b0</t>
  </si>
  <si>
    <t>Theater</t>
  </si>
  <si>
    <t>ff808181-1fd73b03-011f-d73b065c-00000002</t>
  </si>
  <si>
    <t>Writing</t>
  </si>
  <si>
    <t>2a3e9efe-334bc29f-0133-f14f75bc-00001df5</t>
  </si>
  <si>
    <t>BEDEWORK TOPICAL AREA CATUID</t>
  </si>
  <si>
    <t>TOPICAL AREA LABEL</t>
  </si>
  <si>
    <t>TopicalArea</t>
  </si>
  <si>
    <t>TopicalArea2</t>
  </si>
  <si>
    <t>TopicalArea3</t>
  </si>
  <si>
    <t>TopicalArea4</t>
  </si>
  <si>
    <t>TopicalArea5</t>
  </si>
  <si>
    <t>TopicalArea6</t>
  </si>
  <si>
    <t>TopicalArea7</t>
  </si>
  <si>
    <t>TOPICALAREAUID</t>
  </si>
  <si>
    <t>NAME</t>
  </si>
  <si>
    <t>UID</t>
  </si>
  <si>
    <t>location/Bellevue</t>
  </si>
  <si>
    <t>location/East</t>
  </si>
  <si>
    <t>Children</t>
  </si>
  <si>
    <t>X-BEDEWORK-ALIAS;X-BEDEWORK-PARAM-DISPLAYNAME=Featured:/user/agrp_calsuite-MainCampus/Featured</t>
  </si>
  <si>
    <t>X-BEDEWORK-ALIAS</t>
  </si>
  <si>
    <t>X-BEDEWORK-ALIAS;X-BEDEWORK-PARAM-DISPLAYNAME=MAIN (Downtown):/user/agrp_calsuite-MainCampus/Locations/MAIN</t>
  </si>
  <si>
    <t>X-BEDEWORK-ALIAS;X-BEDEWORK-PARAM-DISPLAYNAME=Wishing Chair Productions:/user/agrp_calsuite-MainCampus/Series/Wishing Chair Productions</t>
  </si>
  <si>
    <t>X-BEDEWORK-ALIAS;X-BEDEWORK-PARAM-DISPLAYNAME=Thinking Out of the Lunch Box:/user/agrp_calsuite-MainCampus/Series/Thinking Out of the Lunch Box</t>
  </si>
  <si>
    <t>X-BEDEWORK-ALIAS;X-BEDEWORK-PARAM-DISPLAYNAME=Artober:/user/agrp_calsuite-MainCampus/Series/Artober</t>
  </si>
  <si>
    <t>X-BEDEWORK-ALIAS;X-BEDEWORK-PARAM-DISPLAYNAME=Adult Crafts:/user/agrp_calsuite-MainCampus/Adult Crafts</t>
  </si>
  <si>
    <t>X-BEDEWORK-ALIAS;X-BEDEWORK-PARAM-DISPLAYNAME=Arts &amp; Crafts:/user/agrp_calsuite-MainCampus/Arts &amp; Crafts</t>
  </si>
  <si>
    <t>X-BEDEWORK-ALIAS;X-BEDEWORK-PARAM-DISPLAYNAME=Authors:/user/agrp_calsuite-MainCampus/Authors</t>
  </si>
  <si>
    <t>X-BEDEWORK-ALIAS;X-BEDEWORK-PARAM-DISPLAYNAME=Book Clubs:/user/agrp_calsuite-MainCampus/Book Clubs</t>
  </si>
  <si>
    <t>X-BEDEWORK-ALIAS;X-BEDEWORK-PARAM-DISPLAYNAME=Books &amp; Authors:/user/agrp_calsuite-MainCampus/Books &amp; Authors</t>
  </si>
  <si>
    <t>X-BEDEWORK-ALIAS;X-BEDEWORK-PARAM-DISPLAYNAME=Business:/user/agrp_calsuite-MainCampus/Business</t>
  </si>
  <si>
    <t>X-BEDEWORK-ALIAS;X-BEDEWORK-PARAM-DISPLAYNAME=Children:/user/agrp_calsuite-MainCampus/Children</t>
  </si>
  <si>
    <t>X-BEDEWORK-ALIAS;X-BEDEWORK-PARAM-DISPLAYNAME=Classes and Workshops:/user/agrp_calsuite-MainCampus/Classes and Workshops</t>
  </si>
  <si>
    <t>X-BEDEWORK-ALIAS;X-BEDEWORK-PARAM-DISPLAYNAME=Computers:/user/agrp_calsuite-MainCampus/Computers</t>
  </si>
  <si>
    <t>X-BEDEWORK-ALIAS;X-BEDEWORK-PARAM-DISPLAYNAME=Dance:/user/agrp_calsuite-MainCampus/Dance</t>
  </si>
  <si>
    <t>X-BEDEWORK-ALIAS;X-BEDEWORK-PARAM-DISPLAYNAME=Exhibits:/user/agrp_calsuite-MainCampus/Exhibits</t>
  </si>
  <si>
    <t>X-BEDEWORK-ALIAS;X-BEDEWORK-PARAM-DISPLAYNAME=Gaming:/user/agrp_calsuite-MainCampus/Gaming</t>
  </si>
  <si>
    <t>X-BEDEWORK-ALIAS;X-BEDEWORK-PARAM-DISPLAYNAME=Health:/user/agrp_calsuite-MainCampus/Health</t>
  </si>
  <si>
    <t>X-BEDEWORK-ALIAS;X-BEDEWORK-PARAM-DISPLAYNAME=Home and Garden:/user/agrp_calsuite-MainCampus/Home and Garden</t>
  </si>
  <si>
    <t>X-BEDEWORK-ALIAS;X-BEDEWORK-PARAM-DISPLAYNAME=Jobs:/user/agrp_calsuite-MainCampus/Jobs</t>
  </si>
  <si>
    <t>X-BEDEWORK-ALIAS;X-BEDEWORK-PARAM-DISPLAYNAME=Bellevue:/user/agrp_calsuite-MainCampus/Bellevue</t>
  </si>
  <si>
    <t>X-BEDEWORK-ALIAS;X-BEDEWORK-PARAM-DISPLAYNAME=Bordeaux:/user/agrp_calsuite-MainCampus/Bordeaux</t>
  </si>
  <si>
    <t>X-BEDEWORK-ALIAS;X-BEDEWORK-PARAM-DISPLAYNAME=Donelson:/user/agrp_calsuite-MainCampus/Donelson</t>
  </si>
  <si>
    <t>X-BEDEWORK-ALIAS;X-BEDEWORK-PARAM-DISPLAYNAME=East:/user/agrp_calsuite-MainCampus/East</t>
  </si>
  <si>
    <t>X-BEDEWORK-ALIAS;X-BEDEWORK-PARAM-DISPLAYNAME=Edgehill:/user/agrp_calsuite-MainCampus/Edgehill</t>
  </si>
  <si>
    <t>X-BEDEWORK-ALIAS;X-BEDEWORK-PARAM-DISPLAYNAME=Edmondson Pike:/user/agrp_calsuite-MainCampus/Edmondson Pike</t>
  </si>
  <si>
    <t>X-BEDEWORK-ALIAS;X-BEDEWORK-PARAM-DISPLAYNAME=Goodlettsville:/user/agrp_calsuite-MainCampus/Goodlettsville</t>
  </si>
  <si>
    <t>X-BEDEWORK-ALIAS;X-BEDEWORK-PARAM-DISPLAYNAME=Green Hills:/user/agrp_calsuite-MainCampus/Green Hills</t>
  </si>
  <si>
    <t>X-BEDEWORK-ALIAS;X-BEDEWORK-PARAM-DISPLAYNAME=Hadley Park:/user/agrp_calsuite-MainCampus/Hadley Park</t>
  </si>
  <si>
    <t>X-BEDEWORK-ALIAS;X-BEDEWORK-PARAM-DISPLAYNAME=Hermitage:/user/agrp_calsuite-MainCampus/Hermitage</t>
  </si>
  <si>
    <t>X-BEDEWORK-ALIAS;X-BEDEWORK-PARAM-DISPLAYNAME=Inglewood:/user/agrp_calsuite-MainCampus/Inglewood</t>
  </si>
  <si>
    <t>X-BEDEWORK-ALIAS;X-BEDEWORK-PARAM-DISPLAYNAME=Looby:/user/agrp_calsuite-MainCampus/Looby</t>
  </si>
  <si>
    <t>X-BEDEWORK-ALIAS;X-BEDEWORK-PARAM-DISPLAYNAME=Madison:/user/agrp_calsuite-MainCampus/Madison</t>
  </si>
  <si>
    <t>X-BEDEWORK-ALIAS;X-BEDEWORK-PARAM-DISPLAYNAME=Metro Archives:/user/agrp_calsuite-MainCampus/Metro Archives</t>
  </si>
  <si>
    <t>X-BEDEWORK-ALIAS;X-BEDEWORK-PARAM-DISPLAYNAME=North:/user/agrp_calsuite-MainCampus/North</t>
  </si>
  <si>
    <t>X-BEDEWORK-ALIAS;X-BEDEWORK-PARAM-DISPLAYNAME=Old Hickory:/user/agrp_calsuite-MainCampus/Old Hickory</t>
  </si>
  <si>
    <t>X-BEDEWORK-ALIAS;X-BEDEWORK-PARAM-DISPLAYNAME=Pruitt:/user/agrp_calsuite-MainCampus/Pruitt</t>
  </si>
  <si>
    <t>X-BEDEWORK-ALIAS;X-BEDEWORK-PARAM-DISPLAYNAME=Richland Park:/user/agrp_calsuite-MainCampus/Richland Park</t>
  </si>
  <si>
    <t>X-BEDEWORK-ALIAS;X-BEDEWORK-PARAM-DISPLAYNAME=Southeast:/user/agrp_calsuite-MainCampus/Southeast</t>
  </si>
  <si>
    <t>X-BEDEWORK-ALIAS;X-BEDEWORK-PARAM-DISPLAYNAME=Thompson Lane:/user/agrp_calsuite-MainCampus/Thompson Lane</t>
  </si>
  <si>
    <t>X-BEDEWORK-ALIAS;X-BEDEWORK-PARAM-DISPLAYNAME=Watkins Park:/user/agrp_calsuite-MainCampus/Watkins Park</t>
  </si>
  <si>
    <t>X-BEDEWORK-ALIAS;X-BEDEWORK-PARAM-DISPLAYNAME=Locations:/user/agrp_calsuite-MainCampus/Locations</t>
  </si>
  <si>
    <t>X-BEDEWORK-ALIAS;X-BEDEWORK-PARAM-DISPLAYNAME=Marionettes:/user/agrp_calsuite-MainCampus/Marionettes</t>
  </si>
  <si>
    <t>X-BEDEWORK-ALIAS;X-BEDEWORK-PARAM-DISPLAYNAME=Movies:/user/agrp_calsuite-MainCampus/Movies</t>
  </si>
  <si>
    <t>X-BEDEWORK-ALIAS;X-BEDEWORK-PARAM-DISPLAYNAME=Music:/user/agrp_calsuite-MainCampus/Music</t>
  </si>
  <si>
    <t>X-BEDEWORK-ALIAS;X-BEDEWORK-PARAM-DISPLAYNAME=Performing Arts:/user/agrp_calsuite-MainCampus/Performing Arts</t>
  </si>
  <si>
    <t>X-BEDEWORK-ALIAS;X-BEDEWORK-PARAM-DISPLAYNAME=Personal Finance:/user/agrp_calsuite-MainCampus/Personal Finance</t>
  </si>
  <si>
    <t>X-BEDEWORK-ALIAS;X-BEDEWORK-PARAM-DISPLAYNAME=Receptions:/user/agrp_calsuite-MainCampus/Receptions</t>
  </si>
  <si>
    <t>X-BEDEWORK-ALIAS;X-BEDEWORK-PARAM-DISPLAYNAME=Sale:/user/agrp_calsuite-MainCampus/Sale</t>
  </si>
  <si>
    <t>X-BEDEWORK-ALIAS;X-BEDEWORK-PARAM-DISPLAYNAME=School:/user/agrp_calsuite-MainCampus/School</t>
  </si>
  <si>
    <t>X-BEDEWORK-ALIAS;X-BEDEWORK-PARAM-DISPLAYNAME=Series:/user/agrp_calsuite-MainCampus/Series</t>
  </si>
  <si>
    <t>X-BEDEWORK-ALIAS;X-BEDEWORK-PARAM-DISPLAYNAME=series/Classical Guitar:/user/agrp_calsuite-MainCampus/series/Classical Guitar</t>
  </si>
  <si>
    <t>X-BEDEWORK-ALIAS;X-BEDEWORK-PARAM-DISPLAYNAME=series/Closed:/user/agrp_calsuite-MainCampus/series/Closed</t>
  </si>
  <si>
    <t>X-BEDEWORK-ALIAS;X-BEDEWORK-PARAM-DISPLAYNAME=series/Community Cinema:/user/agrp_calsuite-MainCampus/series/Community Cinema</t>
  </si>
  <si>
    <t>X-BEDEWORK-ALIAS;X-BEDEWORK-PARAM-DISPLAYNAME=series/Community of Many Faces:/user/agrp_calsuite-MainCampus/series/Community of Many Faces</t>
  </si>
  <si>
    <t>X-BEDEWORK-ALIAS;X-BEDEWORK-PARAM-DISPLAYNAME=series/Concerts in the Courtyard:/user/agrp_calsuite-MainCampus/series/Concerts in the Courtyard</t>
  </si>
  <si>
    <t>X-BEDEWORK-ALIAS;X-BEDEWORK-PARAM-DISPLAYNAME=series/Holiday:/user/agrp_calsuite-MainCampus/series/Holiday</t>
  </si>
  <si>
    <t>X-BEDEWORK-ALIAS;X-BEDEWORK-PARAM-DISPLAYNAME=series/Move It March:/user/agrp_calsuite-MainCampus/series/Move It March</t>
  </si>
  <si>
    <t>X-BEDEWORK-ALIAS;X-BEDEWORK-PARAM-DISPLAYNAME=series/Movies @ Main:/user/agrp_calsuite-MainCampus/series/Movies @ Main</t>
  </si>
  <si>
    <t>series/NCAA</t>
  </si>
  <si>
    <t>2a3e9efe-4135b172-0141-37f8502a-00001779</t>
  </si>
  <si>
    <t>X-BEDEWORK-ALIAS;X-BEDEWORK-PARAM-DISPLAYNAME=series/NCAA:/user/agrp_calsuite-MainCampus/series/NCAA</t>
  </si>
  <si>
    <t>X-BEDEWORK-ALIAS;X-BEDEWORK-PARAM-DISPLAYNAME=series/Nashville Reads:/user/agrp_calsuite-MainCampus/series/Nashville Reads</t>
  </si>
  <si>
    <t>X-BEDEWORK-ALIAS;X-BEDEWORK-PARAM-DISPLAYNAME=series/Night at the Library:/user/agrp_calsuite-MainCampus/series/Night at the Library</t>
  </si>
  <si>
    <t>X-BEDEWORK-ALIAS;X-BEDEWORK-PARAM-DISPLAYNAME=series/Salon@615:/user/agrp_calsuite-MainCampus/series/Salon@615</t>
  </si>
  <si>
    <t>X-BEDEWORK-ALIAS;X-BEDEWORK-PARAM-DISPLAYNAME=series/Summer Reading:/user/agrp_calsuite-MainCampus/series/Summer Reading</t>
  </si>
  <si>
    <t>X-BEDEWORK-ALIAS;X-BEDEWORK-PARAM-DISPLAYNAME=series/Writers Circle:/user/agrp_calsuite-MainCampus/series/Writers Circle</t>
  </si>
  <si>
    <t>X-BEDEWORK-ALIAS;X-BEDEWORK-PARAM-DISPLAYNAME=Snacks:/user/agrp_calsuite-MainCampus/Snacks</t>
  </si>
  <si>
    <t>X-BEDEWORK-ALIAS;X-BEDEWORK-PARAM-DISPLAYNAME=Story Time:/user/agrp_calsuite-MainCampus/Story Time</t>
  </si>
  <si>
    <t>X-BEDEWORK-ALIAS;X-BEDEWORK-PARAM-DISPLAYNAME=sys/Ongoing:/user/agrp_calsuite-MainCampus/sys/Ongoing</t>
  </si>
  <si>
    <t>X-BEDEWORK-ALIAS;X-BEDEWORK-PARAM-DISPLAYNAME=Teen Crafts:/user/agrp_calsuite-MainCampus/Teen Crafts</t>
  </si>
  <si>
    <t>X-BEDEWORK-ALIAS;X-BEDEWORK-PARAM-DISPLAYNAME=Teens:/user/agrp_calsuite-MainCampus/Teens</t>
  </si>
  <si>
    <t>X-BEDEWORK-ALIAS;X-BEDEWORK-PARAM-DISPLAYNAME=Theater:/user/agrp_calsuite-MainCampus/Theater</t>
  </si>
  <si>
    <t>X-BEDEWORK-ALIAS;X-BEDEWORK-PARAM-DISPLAYNAME=Writing:/user/agrp_calsuite-MainCampus/Writing</t>
  </si>
  <si>
    <t>Artober</t>
  </si>
  <si>
    <t>X-BEDEWORK-ALIAS;X-BEDEWORK-PARAM-DISPLAYNAME=Artober:/user/agrp_calsuite-MainCampus/Artober</t>
  </si>
  <si>
    <t>Outreach</t>
  </si>
  <si>
    <t>2a3e9efe-4135b172-0141-37e84116-00001706</t>
  </si>
  <si>
    <t>X-BEDEWORK-ALIAS;X-BEDEWORK-PARAM-DISPLAYNAME=Outreach:/user/agrp_calsuite-MainCampus/Outreach</t>
  </si>
  <si>
    <t>series/Community</t>
  </si>
  <si>
    <t>2a3e9efe-4135b172-0141-3803bdaa-0000194d</t>
  </si>
  <si>
    <t>X-BEDEWORK-ALIAS;X-BEDEWORK-PARAM-DISPLAYNAME=series/Community:/user/agrp_calsuite-MainCampus/series/Community</t>
  </si>
  <si>
    <t>BRANCH</t>
  </si>
  <si>
    <r>
      <t xml:space="preserve">HANDBILL 
5.5x8.5 (qty) 
</t>
    </r>
    <r>
      <rPr>
        <sz val="11"/>
        <color theme="1"/>
        <rFont val="Calibri"/>
        <family val="2"/>
        <scheme val="minor"/>
      </rPr>
      <t>(Optional)</t>
    </r>
  </si>
  <si>
    <r>
      <t>POSTER
11x17 (qty)</t>
    </r>
    <r>
      <rPr>
        <sz val="11"/>
        <color theme="1"/>
        <rFont val="Calibri"/>
        <family val="2"/>
        <scheme val="minor"/>
      </rPr>
      <t xml:space="preserve"> 
(Optional)</t>
    </r>
  </si>
  <si>
    <r>
      <t xml:space="preserve">MORE INFORMATION </t>
    </r>
    <r>
      <rPr>
        <sz val="11"/>
        <color theme="1"/>
        <rFont val="Calibri"/>
        <family val="2"/>
        <scheme val="minor"/>
      </rPr>
      <t>(optional)</t>
    </r>
  </si>
  <si>
    <t>MORE INFORMATION (optional)2</t>
  </si>
  <si>
    <t>MORE INFORMATION (optional)3</t>
  </si>
  <si>
    <r>
      <t xml:space="preserve">PALM CARD 3.5x8.5 (qty) 
</t>
    </r>
    <r>
      <rPr>
        <sz val="11"/>
        <color theme="1"/>
        <rFont val="Calibri"/>
        <family val="2"/>
        <scheme val="minor"/>
      </rPr>
      <t>(Optional)</t>
    </r>
    <r>
      <rPr>
        <sz val="11"/>
        <color theme="1"/>
        <rFont val="Calibri"/>
        <family val="2"/>
        <scheme val="minor"/>
      </rPr>
      <t xml:space="preserve">
</t>
    </r>
  </si>
  <si>
    <t>MORE INFORMATION</t>
  </si>
  <si>
    <t>MORE INFORMATION 2</t>
  </si>
  <si>
    <t>MORE INFORMATION2</t>
  </si>
  <si>
    <r>
      <t xml:space="preserve">SOCIAL MEDIA POST </t>
    </r>
    <r>
      <rPr>
        <sz val="11"/>
        <color theme="1"/>
        <rFont val="Calibri"/>
        <family val="2"/>
        <scheme val="minor"/>
      </rPr>
      <t>(Optional)</t>
    </r>
    <r>
      <rPr>
        <sz val="11"/>
        <color theme="1"/>
        <rFont val="Calibri"/>
        <family val="2"/>
        <scheme val="minor"/>
      </rPr>
      <t xml:space="preserve">
</t>
    </r>
  </si>
  <si>
    <r>
      <t xml:space="preserve">BOOKMARKS
</t>
    </r>
    <r>
      <rPr>
        <sz val="11"/>
        <color theme="1"/>
        <rFont val="Calibri"/>
        <family val="2"/>
        <scheme val="minor"/>
      </rPr>
      <t>(Optional)</t>
    </r>
  </si>
  <si>
    <r>
      <t xml:space="preserve">END TIME </t>
    </r>
    <r>
      <rPr>
        <sz val="11"/>
        <color theme="1"/>
        <rFont val="Calibri"/>
        <family val="2"/>
        <scheme val="minor"/>
      </rPr>
      <t>(optional)</t>
    </r>
  </si>
  <si>
    <t>AUDIENCE</t>
  </si>
  <si>
    <t>SERIES</t>
  </si>
  <si>
    <t>Community of Many Faces</t>
  </si>
  <si>
    <t>Adults</t>
  </si>
  <si>
    <t>All Ages</t>
  </si>
  <si>
    <r>
      <t xml:space="preserve">PROGRAM TITLE
50 character limit
</t>
    </r>
    <r>
      <rPr>
        <sz val="11"/>
        <color theme="1"/>
        <rFont val="Calibri"/>
        <family val="2"/>
        <scheme val="minor"/>
      </rPr>
      <t>(Required)</t>
    </r>
  </si>
  <si>
    <r>
      <t xml:space="preserve">INTENDED AUDIENCE 
</t>
    </r>
    <r>
      <rPr>
        <sz val="11"/>
        <color theme="1"/>
        <rFont val="Calibri"/>
        <family val="2"/>
        <scheme val="minor"/>
      </rPr>
      <t>(Required)</t>
    </r>
  </si>
  <si>
    <r>
      <t xml:space="preserve">ESTIMATED ATTENDANCE </t>
    </r>
    <r>
      <rPr>
        <sz val="11"/>
        <color theme="1"/>
        <rFont val="Calibri"/>
        <family val="2"/>
        <scheme val="minor"/>
      </rPr>
      <t>(Required)</t>
    </r>
  </si>
  <si>
    <r>
      <t xml:space="preserve">PART OF SERIES 
</t>
    </r>
    <r>
      <rPr>
        <sz val="11"/>
        <color theme="1"/>
        <rFont val="Calibri"/>
        <family val="2"/>
        <scheme val="minor"/>
      </rPr>
      <t>(Optional)</t>
    </r>
  </si>
  <si>
    <r>
      <t xml:space="preserve">DESCRIPTION
up to 600 characters
</t>
    </r>
    <r>
      <rPr>
        <sz val="11"/>
        <color theme="1"/>
        <rFont val="Calibri"/>
        <family val="2"/>
        <scheme val="minor"/>
      </rPr>
      <t>(Required)</t>
    </r>
  </si>
  <si>
    <r>
      <t>START TIME HH:MM AM/PM</t>
    </r>
    <r>
      <rPr>
        <sz val="11"/>
        <color theme="1"/>
        <rFont val="Calibri"/>
        <family val="2"/>
        <scheme val="minor"/>
      </rPr>
      <t xml:space="preserve"> (Required)</t>
    </r>
  </si>
  <si>
    <r>
      <t xml:space="preserve">CHECK DATE </t>
    </r>
    <r>
      <rPr>
        <sz val="11"/>
        <color theme="1"/>
        <rFont val="Calibri"/>
        <family val="2"/>
        <scheme val="minor"/>
      </rPr>
      <t>(Auto)</t>
    </r>
  </si>
  <si>
    <r>
      <t xml:space="preserve">DATE MM/DD/YYYY </t>
    </r>
    <r>
      <rPr>
        <sz val="11"/>
        <color theme="1"/>
        <rFont val="Calibri"/>
        <family val="2"/>
        <scheme val="minor"/>
      </rPr>
      <t>(Required)</t>
    </r>
  </si>
  <si>
    <t>UNBOUND AUDIENCE</t>
  </si>
  <si>
    <t>ALL AGES</t>
  </si>
  <si>
    <t>INFANTS/TODDLERS</t>
  </si>
  <si>
    <t>TODDLERS / PRESCHOOL</t>
  </si>
  <si>
    <t>PRESCHOOL</t>
  </si>
  <si>
    <t>PRESCHOOL / SCHOOL AGE</t>
  </si>
  <si>
    <t>SCHOOL AGE</t>
  </si>
  <si>
    <t>SCHOOL AGE / TEENS</t>
  </si>
  <si>
    <t>TWEENS</t>
  </si>
  <si>
    <t>TWEENS/TEENS</t>
  </si>
  <si>
    <t>TEENS</t>
  </si>
  <si>
    <t>TEENS / ADULTS</t>
  </si>
  <si>
    <t>ADULTS</t>
  </si>
  <si>
    <r>
      <t xml:space="preserve">UNBOUND AGE GROUP </t>
    </r>
    <r>
      <rPr>
        <sz val="11"/>
        <color theme="1"/>
        <rFont val="Calibri"/>
        <family val="2"/>
        <scheme val="minor"/>
      </rPr>
      <t>(Required)</t>
    </r>
  </si>
  <si>
    <t>Nashville Reads</t>
  </si>
  <si>
    <t>Summer Reading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</si>
</sst>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5" x14ac:knownFonts="1">
    <font>
      <sz val="11"/>
      <color theme="1"/>
      <name val="Calibri"/>
      <family val="2"/>
      <scheme val="minor"/>
    </font>
    <font>
      <b/>
      <sz val="11"/>
      <color theme="1"/>
      <name val="Calibri"/>
      <family val="2"/>
      <scheme val="minor"/>
    </font>
    <font>
      <sz val="11"/>
      <color theme="1"/>
      <name val="Calibri"/>
      <family val="2"/>
    </font>
    <font>
      <sz val="11"/>
      <color rgb="FF000000"/>
      <name val="Calibri"/>
      <family val="2"/>
    </font>
    <font>
      <sz val="11"/>
      <color rgb="FF000000"/>
      <name val="Calibri"/>
      <family val="2"/>
      <scheme val="minor"/>
    </font>
  </fonts>
  <fills count="3">
    <fill>
      <patternFill patternType="none"/>
    </fill>
    <fill>
      <patternFill patternType="gray125"/>
    </fill>
    <fill>
      <patternFill patternType="solid">
        <fgColor theme="0"/>
        <bgColor indexed="64"/>
      </patternFill>
    </fill>
  </fills>
  <borders count="4">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24">
    <xf numFmtId="0" fontId="0" fillId="0" borderId="0" xfId="0"/>
    <xf numFmtId="0" fontId="0" fillId="0" borderId="0" xfId="0" applyAlignment="1">
      <alignment wrapText="1"/>
    </xf>
    <xf numFmtId="0" fontId="1" fillId="0" borderId="0" xfId="0" applyFont="1"/>
    <xf numFmtId="0" fontId="1" fillId="0" borderId="1" xfId="0" applyFont="1" applyBorder="1"/>
    <xf numFmtId="49" fontId="0" fillId="0" borderId="0" xfId="0" applyNumberFormat="1" applyAlignment="1"/>
    <xf numFmtId="0" fontId="1" fillId="0" borderId="0" xfId="0" applyFont="1" applyAlignment="1"/>
    <xf numFmtId="0" fontId="0" fillId="0" borderId="0" xfId="0" applyAlignment="1"/>
    <xf numFmtId="18" fontId="2" fillId="0" borderId="0" xfId="0" applyNumberFormat="1" applyFont="1" applyFill="1" applyBorder="1" applyProtection="1">
      <protection locked="0"/>
    </xf>
    <xf numFmtId="164" fontId="0" fillId="0" borderId="0" xfId="0" applyNumberFormat="1" applyProtection="1">
      <protection locked="0"/>
    </xf>
    <xf numFmtId="0" fontId="3" fillId="0" borderId="0" xfId="0" applyFont="1" applyFill="1" applyBorder="1" applyAlignment="1" applyProtection="1">
      <protection locked="0"/>
    </xf>
    <xf numFmtId="0" fontId="1" fillId="2" borderId="2" xfId="0" applyFont="1" applyFill="1" applyBorder="1" applyAlignment="1">
      <alignment vertical="top" wrapText="1"/>
    </xf>
    <xf numFmtId="0" fontId="1" fillId="2" borderId="3" xfId="0" applyFont="1" applyFill="1" applyBorder="1" applyAlignment="1">
      <alignment vertical="top" wrapText="1"/>
    </xf>
    <xf numFmtId="0" fontId="1" fillId="2" borderId="2" xfId="0" applyFont="1" applyFill="1" applyBorder="1" applyAlignment="1" applyProtection="1">
      <alignment vertical="top"/>
      <protection locked="0"/>
    </xf>
    <xf numFmtId="0" fontId="1" fillId="0" borderId="0" xfId="0" applyFont="1" applyAlignment="1">
      <alignment horizontal="left" vertical="top"/>
    </xf>
    <xf numFmtId="14" fontId="0" fillId="0" borderId="0" xfId="0" applyNumberFormat="1" applyAlignment="1" applyProtection="1">
      <alignment wrapText="1"/>
      <protection locked="0"/>
    </xf>
    <xf numFmtId="0" fontId="0" fillId="0" borderId="0" xfId="0" applyProtection="1">
      <protection locked="0"/>
    </xf>
    <xf numFmtId="0" fontId="0" fillId="0" borderId="0" xfId="0" applyAlignment="1" applyProtection="1">
      <alignment wrapText="1"/>
    </xf>
    <xf numFmtId="49" fontId="0" fillId="0" borderId="0" xfId="0" applyNumberFormat="1" applyAlignment="1" applyProtection="1">
      <protection locked="0"/>
    </xf>
    <xf numFmtId="0" fontId="0" fillId="0" borderId="0" xfId="0" applyAlignment="1" applyProtection="1">
      <protection locked="0"/>
    </xf>
    <xf numFmtId="0" fontId="0" fillId="0" borderId="0" xfId="0" applyAlignment="1" applyProtection="1">
      <alignment wrapText="1"/>
      <protection locked="0"/>
    </xf>
    <xf numFmtId="0" fontId="0" fillId="0" borderId="0" xfId="0" applyNumberFormat="1" applyAlignment="1" applyProtection="1">
      <alignment wrapText="1"/>
      <protection locked="0"/>
    </xf>
    <xf numFmtId="18" fontId="0" fillId="0" borderId="0" xfId="0" applyNumberFormat="1" applyAlignment="1" applyProtection="1">
      <alignment wrapText="1"/>
      <protection locked="0"/>
    </xf>
    <xf numFmtId="0" fontId="4" fillId="0" borderId="0" xfId="0" applyFont="1" applyAlignment="1" applyProtection="1">
      <alignment vertical="center"/>
      <protection locked="0"/>
    </xf>
    <xf numFmtId="0" fontId="4" fillId="0" borderId="0" xfId="0" applyFont="1" applyProtection="1">
      <protection locked="0"/>
    </xf>
  </cellXfs>
  <cellStyles count="1">
    <cellStyle name="Normal" xfId="0" builtinId="0"/>
  </cellStyles>
  <dxfs count="5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23" formatCode="h:mm\ AM/PM"/>
      <alignment horizontal="general" vertical="bottom" textRotation="0" wrapText="1" indent="0" justifyLastLine="0" shrinkToFit="0" readingOrder="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dxf>
    <dxf>
      <alignment horizontal="general" vertical="bottom" textRotation="0" wrapText="1" indent="0" justifyLastLine="0" shrinkToFit="0" readingOrder="0"/>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ables/table1.xml><?xml version="1.0" encoding="utf-8"?>
<table xmlns="http://schemas.openxmlformats.org/spreadsheetml/2006/main" id="1" name="Table1" displayName="Table1" ref="B1:AD1000" totalsRowCount="1" headerRowDxfId="49">
  <tableColumns count="29">
    <tableColumn id="1" name="BRANCH"/>
    <tableColumn id="16" name="DATE MM/DD/YYYY (Required)"/>
    <tableColumn id="3" name="CHECK DATE (Auto)" dataDxfId="48">
      <calculatedColumnFormula>IF(C2=0,"",TEXT($C2,"dddd"))</calculatedColumnFormula>
    </tableColumn>
    <tableColumn id="5" name="START TIME HH:MM AM/PM (Required)" dataDxfId="47" totalsRowDxfId="46"/>
    <tableColumn id="18" name="END TIME (optional)" dataDxfId="45" totalsRowDxfId="44"/>
    <tableColumn id="6" name="PROGRAM TITLE_x000a_50 character limit_x000a_(Required)" dataDxfId="43"/>
    <tableColumn id="2" name="DESCRIPTION_x000a_up to 600 characters_x000a_(Required)" dataDxfId="42" totalsRowDxfId="41"/>
    <tableColumn id="8" name="TopicalArea" dataDxfId="40"/>
    <tableColumn id="9" name="TopicalArea2" dataDxfId="39" totalsRowDxfId="38"/>
    <tableColumn id="10" name="TopicalArea3" dataDxfId="37" totalsRowDxfId="36"/>
    <tableColumn id="11" name="TopicalArea4" dataDxfId="35" totalsRowDxfId="34"/>
    <tableColumn id="12" name="TopicalArea5" dataDxfId="33" totalsRowDxfId="32"/>
    <tableColumn id="13" name="TopicalArea6" dataDxfId="31"/>
    <tableColumn id="14" name="TopicalArea7" dataDxfId="30"/>
    <tableColumn id="19" name="INTENDED AUDIENCE _x000a_(Required)" dataDxfId="29" totalsRowDxfId="28"/>
    <tableColumn id="7" name="UNBOUND AGE GROUP (Required)" dataDxfId="27" totalsRowDxfId="26"/>
    <tableColumn id="20" name="ESTIMATED ATTENDANCE (Required)" dataDxfId="25" totalsRowDxfId="24"/>
    <tableColumn id="21" name="PART OF SERIES _x000a_(Optional)" dataDxfId="23" totalsRowDxfId="22"/>
    <tableColumn id="22" name="SOCIAL MEDIA POST (Optional)_x000a_" dataDxfId="21" totalsRowDxfId="20"/>
    <tableColumn id="23" name="HANDBILL _x000a_5.5x8.5 (qty) _x000a_(Optional)" dataDxfId="19" totalsRowDxfId="18"/>
    <tableColumn id="24" name="PALM CARD 3.5x8.5 (qty) _x000a_(Optional)_x000a_" dataDxfId="17" totalsRowDxfId="16"/>
    <tableColumn id="25" name="POSTER_x000a_11x17 (qty) _x000a_(Optional)" dataDxfId="15" totalsRowDxfId="14"/>
    <tableColumn id="26" name="BOOKMARKS_x000a_(Optional)" dataDxfId="13" totalsRowDxfId="12"/>
    <tableColumn id="27" name="MORE INFORMATION (optional)" dataDxfId="11" totalsRowDxfId="10"/>
    <tableColumn id="28" name="MORE INFORMATION (optional)2" dataDxfId="9" totalsRowDxfId="8"/>
    <tableColumn id="29" name="MORE INFORMATION (optional)3" dataDxfId="7" totalsRowDxfId="6"/>
    <tableColumn id="30" name="MORE INFORMATION" dataDxfId="5" totalsRowDxfId="4"/>
    <tableColumn id="31" name="MORE INFORMATION 2" dataDxfId="3" totalsRowDxfId="2"/>
    <tableColumn id="32" name="MORE INFORMATION2" dataDxfId="1" totalsRow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95"/>
  <sheetViews>
    <sheetView tabSelected="1" zoomScaleNormal="100" workbookViewId="0">
      <pane xSplit="7" ySplit="1" topLeftCell="H2" activePane="bottomRight" state="frozen"/>
      <selection pane="topRight" activeCell="H1" sqref="H1"/>
      <selection pane="bottomLeft" activeCell="A2" sqref="A2"/>
      <selection pane="bottomRight"/>
    </sheetView>
  </sheetViews>
  <sheetFormatPr defaultRowHeight="15" x14ac:dyDescent="0.25"/>
  <cols>
    <col min="1" max="1" width="10.85546875" customWidth="1"/>
    <col min="2" max="2" width="11.28515625" customWidth="1"/>
    <col min="3" max="3" width="13.5703125" customWidth="1"/>
    <col min="4" max="4" width="12.28515625" customWidth="1"/>
    <col min="5" max="6" width="13" style="1" customWidth="1"/>
    <col min="7" max="7" width="26.7109375" customWidth="1"/>
    <col min="8" max="8" width="13.28515625" style="4" customWidth="1"/>
    <col min="9" max="9" width="25.5703125" hidden="1" customWidth="1"/>
    <col min="10" max="10" width="17" style="6" hidden="1" customWidth="1"/>
    <col min="11" max="11" width="31" style="6" hidden="1" customWidth="1"/>
    <col min="12" max="12" width="12.42578125" style="6" hidden="1" customWidth="1"/>
    <col min="13" max="13" width="31" style="6" hidden="1" customWidth="1"/>
    <col min="14" max="14" width="12.42578125" hidden="1" customWidth="1"/>
    <col min="15" max="15" width="0" hidden="1" customWidth="1"/>
    <col min="16" max="17" width="11.42578125" customWidth="1"/>
    <col min="18" max="18" width="13" customWidth="1"/>
    <col min="19" max="19" width="10.5703125" customWidth="1"/>
    <col min="20" max="20" width="15.28515625" bestFit="1" customWidth="1"/>
    <col min="21" max="21" width="11.85546875" bestFit="1" customWidth="1"/>
    <col min="22" max="22" width="12.42578125" customWidth="1"/>
    <col min="23" max="23" width="14.140625" customWidth="1"/>
    <col min="24" max="24" width="13.7109375" customWidth="1"/>
    <col min="25" max="25" width="30" bestFit="1" customWidth="1"/>
    <col min="26" max="29" width="31" bestFit="1" customWidth="1"/>
  </cols>
  <sheetData>
    <row r="1" spans="1:32" ht="58.5" customHeight="1" thickBot="1" x14ac:dyDescent="0.3">
      <c r="A1" s="10" t="s">
        <v>300</v>
      </c>
      <c r="B1" s="10" t="s">
        <v>387</v>
      </c>
      <c r="C1" s="10" t="s">
        <v>412</v>
      </c>
      <c r="D1" s="10" t="s">
        <v>411</v>
      </c>
      <c r="E1" s="11" t="s">
        <v>410</v>
      </c>
      <c r="F1" s="10" t="s">
        <v>399</v>
      </c>
      <c r="G1" s="10" t="s">
        <v>405</v>
      </c>
      <c r="H1" s="10" t="s">
        <v>409</v>
      </c>
      <c r="I1" s="2" t="s">
        <v>291</v>
      </c>
      <c r="J1" s="5" t="s">
        <v>292</v>
      </c>
      <c r="K1" s="5" t="s">
        <v>293</v>
      </c>
      <c r="L1" s="5" t="s">
        <v>294</v>
      </c>
      <c r="M1" s="5" t="s">
        <v>295</v>
      </c>
      <c r="N1" s="2" t="s">
        <v>296</v>
      </c>
      <c r="O1" s="2" t="s">
        <v>297</v>
      </c>
      <c r="P1" s="10" t="s">
        <v>406</v>
      </c>
      <c r="Q1" s="10" t="s">
        <v>426</v>
      </c>
      <c r="R1" s="10" t="s">
        <v>407</v>
      </c>
      <c r="S1" s="10" t="s">
        <v>408</v>
      </c>
      <c r="T1" s="10" t="s">
        <v>397</v>
      </c>
      <c r="U1" s="10" t="s">
        <v>388</v>
      </c>
      <c r="V1" s="10" t="s">
        <v>393</v>
      </c>
      <c r="W1" s="10" t="s">
        <v>389</v>
      </c>
      <c r="X1" s="10" t="s">
        <v>398</v>
      </c>
      <c r="Y1" s="12" t="s">
        <v>390</v>
      </c>
      <c r="Z1" s="12" t="s">
        <v>391</v>
      </c>
      <c r="AA1" s="12" t="s">
        <v>392</v>
      </c>
      <c r="AB1" s="12" t="s">
        <v>394</v>
      </c>
      <c r="AC1" s="13" t="s">
        <v>395</v>
      </c>
      <c r="AD1" s="12" t="s">
        <v>396</v>
      </c>
    </row>
    <row r="2" spans="1:32" x14ac:dyDescent="0.25">
      <c r="A2" t="str">
        <f t="shared" ref="A2:A65" ca="1" si="0">UPPER(CONCATENATE(TEXT(TODAY(),"yyyymmdd"),"-",TEXT(ROW(),"000000"),"-",SUBSTITUTE(B2," ",""),"-",TEXT(C2,"yyyymmdd"),TEXT(E2,"hhmm"),"@library.nashville.org"))</f>
        <v>20140825-000002--190001000000@LIBRARY.NASHVILLE.ORG</v>
      </c>
      <c r="B2" s="15"/>
      <c r="C2" s="14"/>
      <c r="D2" s="16" t="str">
        <f>IF(C2=0,"",TEXT($C2,"dddd"))</f>
        <v/>
      </c>
      <c r="E2" s="7"/>
      <c r="F2" s="7"/>
      <c r="G2" s="19"/>
      <c r="H2" s="22"/>
      <c r="I2" s="1" t="s">
        <v>201</v>
      </c>
      <c r="J2" s="6" t="s">
        <v>303</v>
      </c>
      <c r="K2" s="6" t="s">
        <v>21</v>
      </c>
      <c r="L2" s="6" t="s">
        <v>173</v>
      </c>
      <c r="N2" s="1"/>
      <c r="O2" s="1"/>
      <c r="P2" s="18"/>
      <c r="Q2" s="18"/>
      <c r="R2" s="18"/>
      <c r="S2" s="18"/>
      <c r="T2" s="18"/>
      <c r="U2" s="18"/>
      <c r="V2" s="18"/>
      <c r="W2" s="18"/>
      <c r="X2" s="18"/>
      <c r="Y2" s="18"/>
      <c r="Z2" s="18"/>
      <c r="AA2" s="18"/>
      <c r="AB2" s="18"/>
      <c r="AC2" s="18"/>
      <c r="AD2" s="18"/>
      <c r="AE2" s="15"/>
      <c r="AF2" s="15"/>
    </row>
    <row r="3" spans="1:32" x14ac:dyDescent="0.25">
      <c r="A3" t="str">
        <f t="shared" ca="1" si="0"/>
        <v>20140825-000003--190001000000@LIBRARY.NASHVILLE.ORG</v>
      </c>
      <c r="B3" s="15" t="str">
        <f t="shared" ref="B3:B12" si="1">IF($B$2=0,"",TEXT($B$2,""))</f>
        <v/>
      </c>
      <c r="C3" s="8"/>
      <c r="D3" s="16" t="str">
        <f t="shared" ref="D3:D66" si="2">IF(C3=0,"",TEXT($C3,"dddd"))</f>
        <v/>
      </c>
      <c r="E3" s="7"/>
      <c r="F3" s="7"/>
      <c r="G3" s="19"/>
      <c r="H3" s="9"/>
      <c r="I3" s="1" t="s">
        <v>201</v>
      </c>
      <c r="J3" s="6" t="s">
        <v>303</v>
      </c>
      <c r="K3" s="6" t="s">
        <v>21</v>
      </c>
      <c r="N3" s="1"/>
      <c r="O3" s="1"/>
      <c r="P3" s="18"/>
      <c r="Q3" s="18"/>
      <c r="R3" s="18"/>
      <c r="S3" s="18"/>
      <c r="T3" s="18"/>
      <c r="U3" s="18"/>
      <c r="V3" s="18"/>
      <c r="W3" s="18"/>
      <c r="X3" s="18"/>
      <c r="Y3" s="18"/>
      <c r="Z3" s="18"/>
      <c r="AA3" s="18"/>
      <c r="AB3" s="18"/>
      <c r="AC3" s="18"/>
      <c r="AD3" s="18"/>
      <c r="AE3" s="15"/>
      <c r="AF3" s="15"/>
    </row>
    <row r="4" spans="1:32" x14ac:dyDescent="0.25">
      <c r="A4" t="str">
        <f t="shared" ca="1" si="0"/>
        <v>20140825-000004--190001000000@LIBRARY.NASHVILLE.ORG</v>
      </c>
      <c r="B4" s="15" t="str">
        <f t="shared" si="1"/>
        <v/>
      </c>
      <c r="C4" s="8"/>
      <c r="D4" s="16" t="str">
        <f t="shared" si="2"/>
        <v/>
      </c>
      <c r="E4" s="7"/>
      <c r="F4" s="7"/>
      <c r="G4" s="19"/>
      <c r="H4" s="9"/>
      <c r="I4" s="1" t="s">
        <v>201</v>
      </c>
      <c r="J4" s="6" t="s">
        <v>303</v>
      </c>
      <c r="K4" s="6" t="s">
        <v>21</v>
      </c>
      <c r="N4" s="1"/>
      <c r="O4" s="1"/>
      <c r="P4" s="18"/>
      <c r="Q4" s="18"/>
      <c r="R4" s="18"/>
      <c r="S4" s="18"/>
      <c r="T4" s="18"/>
      <c r="U4" s="18"/>
      <c r="V4" s="18"/>
      <c r="W4" s="18"/>
      <c r="X4" s="18"/>
      <c r="Y4" s="18"/>
      <c r="Z4" s="18"/>
      <c r="AA4" s="18"/>
      <c r="AB4" s="18"/>
      <c r="AC4" s="18"/>
      <c r="AD4" s="18"/>
      <c r="AE4" s="15"/>
      <c r="AF4" s="15"/>
    </row>
    <row r="5" spans="1:32" x14ac:dyDescent="0.25">
      <c r="A5" t="str">
        <f t="shared" ca="1" si="0"/>
        <v>20140825-000005--190001000000@LIBRARY.NASHVILLE.ORG</v>
      </c>
      <c r="B5" s="15" t="str">
        <f t="shared" si="1"/>
        <v/>
      </c>
      <c r="C5" s="8"/>
      <c r="D5" s="16" t="str">
        <f t="shared" si="2"/>
        <v/>
      </c>
      <c r="E5" s="7"/>
      <c r="F5" s="7"/>
      <c r="G5" s="19"/>
      <c r="H5" s="9"/>
      <c r="I5" s="1" t="s">
        <v>201</v>
      </c>
      <c r="J5" s="6" t="s">
        <v>303</v>
      </c>
      <c r="K5" s="6" t="s">
        <v>21</v>
      </c>
      <c r="N5" s="1"/>
      <c r="O5" s="1"/>
      <c r="P5" s="18"/>
      <c r="Q5" s="18"/>
      <c r="R5" s="18"/>
      <c r="S5" s="18"/>
      <c r="T5" s="18"/>
      <c r="U5" s="18"/>
      <c r="V5" s="18"/>
      <c r="W5" s="18"/>
      <c r="X5" s="18"/>
      <c r="Y5" s="18"/>
      <c r="Z5" s="18"/>
      <c r="AA5" s="18"/>
      <c r="AB5" s="18"/>
      <c r="AC5" s="18"/>
      <c r="AD5" s="18"/>
      <c r="AE5" s="15"/>
      <c r="AF5" s="15"/>
    </row>
    <row r="6" spans="1:32" x14ac:dyDescent="0.25">
      <c r="A6" t="str">
        <f t="shared" ca="1" si="0"/>
        <v>20140825-000006--190001000000@LIBRARY.NASHVILLE.ORG</v>
      </c>
      <c r="B6" s="15" t="str">
        <f t="shared" si="1"/>
        <v/>
      </c>
      <c r="C6" s="8"/>
      <c r="D6" s="16" t="str">
        <f t="shared" si="2"/>
        <v/>
      </c>
      <c r="E6" s="7"/>
      <c r="F6" s="7"/>
      <c r="G6" s="19"/>
      <c r="H6" s="9"/>
      <c r="I6" s="1" t="s">
        <v>201</v>
      </c>
      <c r="J6" s="6" t="s">
        <v>303</v>
      </c>
      <c r="K6" s="6" t="s">
        <v>21</v>
      </c>
      <c r="N6" s="1"/>
      <c r="O6" s="1"/>
      <c r="P6" s="18"/>
      <c r="Q6" s="18"/>
      <c r="R6" s="18"/>
      <c r="S6" s="18"/>
      <c r="T6" s="18"/>
      <c r="U6" s="18"/>
      <c r="V6" s="18"/>
      <c r="W6" s="18"/>
      <c r="X6" s="18"/>
      <c r="Y6" s="18"/>
      <c r="Z6" s="18"/>
      <c r="AA6" s="18"/>
      <c r="AB6" s="18"/>
      <c r="AC6" s="18"/>
      <c r="AD6" s="18"/>
      <c r="AE6" s="15"/>
      <c r="AF6" s="15"/>
    </row>
    <row r="7" spans="1:32" x14ac:dyDescent="0.25">
      <c r="A7" t="str">
        <f t="shared" ca="1" si="0"/>
        <v>20140825-000007--190001000000@LIBRARY.NASHVILLE.ORG</v>
      </c>
      <c r="B7" s="15" t="str">
        <f t="shared" si="1"/>
        <v/>
      </c>
      <c r="C7" s="8"/>
      <c r="D7" s="16" t="str">
        <f t="shared" si="2"/>
        <v/>
      </c>
      <c r="E7" s="7"/>
      <c r="F7" s="7"/>
      <c r="G7" s="19"/>
      <c r="H7" s="9"/>
      <c r="I7" s="1" t="s">
        <v>201</v>
      </c>
      <c r="J7" s="6" t="s">
        <v>303</v>
      </c>
      <c r="K7" s="6" t="s">
        <v>21</v>
      </c>
      <c r="N7" s="1"/>
      <c r="O7" s="1"/>
      <c r="P7" s="18"/>
      <c r="Q7" s="18"/>
      <c r="R7" s="18"/>
      <c r="S7" s="18"/>
      <c r="T7" s="18"/>
      <c r="U7" s="18"/>
      <c r="V7" s="18"/>
      <c r="W7" s="18"/>
      <c r="X7" s="18"/>
      <c r="Y7" s="18"/>
      <c r="Z7" s="18"/>
      <c r="AA7" s="18"/>
      <c r="AB7" s="18"/>
      <c r="AC7" s="18"/>
      <c r="AD7" s="18"/>
      <c r="AE7" s="15"/>
      <c r="AF7" s="15"/>
    </row>
    <row r="8" spans="1:32" x14ac:dyDescent="0.25">
      <c r="A8" t="str">
        <f t="shared" ca="1" si="0"/>
        <v>20140825-000008--190001000000@LIBRARY.NASHVILLE.ORG</v>
      </c>
      <c r="B8" s="15" t="str">
        <f t="shared" si="1"/>
        <v/>
      </c>
      <c r="C8" s="8"/>
      <c r="D8" s="16" t="str">
        <f t="shared" si="2"/>
        <v/>
      </c>
      <c r="E8" s="7"/>
      <c r="F8" s="7"/>
      <c r="G8" s="19"/>
      <c r="H8" s="9"/>
      <c r="I8" s="1" t="s">
        <v>201</v>
      </c>
      <c r="J8" s="6" t="s">
        <v>303</v>
      </c>
      <c r="K8" s="6" t="s">
        <v>21</v>
      </c>
      <c r="N8" s="1"/>
      <c r="O8" s="1"/>
      <c r="P8" s="18"/>
      <c r="Q8" s="18"/>
      <c r="R8" s="18"/>
      <c r="S8" s="18"/>
      <c r="T8" s="18"/>
      <c r="U8" s="18"/>
      <c r="V8" s="18"/>
      <c r="W8" s="18"/>
      <c r="X8" s="18"/>
      <c r="Y8" s="18"/>
      <c r="Z8" s="18"/>
      <c r="AA8" s="18"/>
      <c r="AB8" s="18"/>
      <c r="AC8" s="18"/>
      <c r="AD8" s="18"/>
      <c r="AE8" s="15"/>
      <c r="AF8" s="15"/>
    </row>
    <row r="9" spans="1:32" x14ac:dyDescent="0.25">
      <c r="A9" t="str">
        <f t="shared" ca="1" si="0"/>
        <v>20140825-000009--190001000000@LIBRARY.NASHVILLE.ORG</v>
      </c>
      <c r="B9" s="15" t="str">
        <f t="shared" si="1"/>
        <v/>
      </c>
      <c r="C9" s="8"/>
      <c r="D9" s="16" t="str">
        <f t="shared" si="2"/>
        <v/>
      </c>
      <c r="E9" s="7"/>
      <c r="F9" s="7"/>
      <c r="G9" s="19"/>
      <c r="H9" s="9"/>
      <c r="I9" s="1" t="s">
        <v>201</v>
      </c>
      <c r="J9" s="6" t="s">
        <v>303</v>
      </c>
      <c r="K9" s="6" t="s">
        <v>21</v>
      </c>
      <c r="N9" s="1"/>
      <c r="O9" s="1"/>
      <c r="P9" s="18"/>
      <c r="Q9" s="18"/>
      <c r="R9" s="18"/>
      <c r="S9" s="18"/>
      <c r="T9" s="18"/>
      <c r="U9" s="18"/>
      <c r="V9" s="18"/>
      <c r="W9" s="18"/>
      <c r="X9" s="18"/>
      <c r="Y9" s="18"/>
      <c r="Z9" s="18"/>
      <c r="AA9" s="18"/>
      <c r="AB9" s="18"/>
      <c r="AC9" s="18"/>
      <c r="AD9" s="18"/>
      <c r="AE9" s="15"/>
      <c r="AF9" s="15"/>
    </row>
    <row r="10" spans="1:32" x14ac:dyDescent="0.25">
      <c r="A10" t="str">
        <f t="shared" ca="1" si="0"/>
        <v>20140825-000010--190001000000@LIBRARY.NASHVILLE.ORG</v>
      </c>
      <c r="B10" s="15" t="str">
        <f t="shared" si="1"/>
        <v/>
      </c>
      <c r="C10" s="8"/>
      <c r="D10" s="16" t="str">
        <f t="shared" si="2"/>
        <v/>
      </c>
      <c r="E10" s="7"/>
      <c r="F10" s="7"/>
      <c r="G10" s="19"/>
      <c r="H10" s="9"/>
      <c r="I10" s="1" t="s">
        <v>201</v>
      </c>
      <c r="J10" s="6" t="s">
        <v>303</v>
      </c>
      <c r="K10" s="6" t="s">
        <v>21</v>
      </c>
      <c r="N10" s="1"/>
      <c r="O10" s="1"/>
      <c r="P10" s="18"/>
      <c r="Q10" s="18"/>
      <c r="R10" s="18"/>
      <c r="S10" s="18"/>
      <c r="T10" s="18"/>
      <c r="U10" s="18"/>
      <c r="V10" s="18"/>
      <c r="W10" s="18"/>
      <c r="X10" s="18"/>
      <c r="Y10" s="18"/>
      <c r="Z10" s="18"/>
      <c r="AA10" s="18"/>
      <c r="AB10" s="18"/>
      <c r="AC10" s="18"/>
      <c r="AD10" s="18"/>
      <c r="AE10" s="15"/>
      <c r="AF10" s="15"/>
    </row>
    <row r="11" spans="1:32" x14ac:dyDescent="0.25">
      <c r="A11" t="str">
        <f t="shared" ca="1" si="0"/>
        <v>20140825-000011--190001000000@LIBRARY.NASHVILLE.ORG</v>
      </c>
      <c r="B11" s="15" t="str">
        <f t="shared" si="1"/>
        <v/>
      </c>
      <c r="C11" s="8"/>
      <c r="D11" s="16" t="str">
        <f t="shared" si="2"/>
        <v/>
      </c>
      <c r="E11" s="7"/>
      <c r="F11" s="7"/>
      <c r="G11" s="19"/>
      <c r="H11" s="9"/>
      <c r="I11" s="1" t="s">
        <v>201</v>
      </c>
      <c r="J11" s="6" t="s">
        <v>303</v>
      </c>
      <c r="K11" s="6" t="s">
        <v>21</v>
      </c>
      <c r="N11" s="1"/>
      <c r="O11" s="1"/>
      <c r="P11" s="18"/>
      <c r="Q11" s="18"/>
      <c r="R11" s="18"/>
      <c r="S11" s="18"/>
      <c r="T11" s="18"/>
      <c r="U11" s="18"/>
      <c r="V11" s="18"/>
      <c r="W11" s="18"/>
      <c r="X11" s="18"/>
      <c r="Y11" s="18"/>
      <c r="Z11" s="18"/>
      <c r="AA11" s="18"/>
      <c r="AB11" s="18"/>
      <c r="AC11" s="18"/>
      <c r="AD11" s="18"/>
      <c r="AE11" s="15"/>
      <c r="AF11" s="15"/>
    </row>
    <row r="12" spans="1:32" x14ac:dyDescent="0.25">
      <c r="A12" t="str">
        <f t="shared" ca="1" si="0"/>
        <v>20140825-000012--190001000000@LIBRARY.NASHVILLE.ORG</v>
      </c>
      <c r="B12" s="15" t="str">
        <f t="shared" si="1"/>
        <v/>
      </c>
      <c r="C12" s="8"/>
      <c r="D12" s="16" t="str">
        <f t="shared" si="2"/>
        <v/>
      </c>
      <c r="E12" s="7"/>
      <c r="F12" s="7"/>
      <c r="G12" s="19"/>
      <c r="H12" s="9"/>
      <c r="I12" s="1" t="s">
        <v>201</v>
      </c>
      <c r="J12" s="6" t="s">
        <v>303</v>
      </c>
      <c r="K12" s="6" t="s">
        <v>21</v>
      </c>
      <c r="N12" s="1"/>
      <c r="O12" s="1"/>
      <c r="P12" s="18"/>
      <c r="Q12" s="18"/>
      <c r="R12" s="18"/>
      <c r="S12" s="18"/>
      <c r="T12" s="18"/>
      <c r="U12" s="18"/>
      <c r="V12" s="18"/>
      <c r="W12" s="18"/>
      <c r="X12" s="18"/>
      <c r="Y12" s="18"/>
      <c r="Z12" s="18"/>
      <c r="AA12" s="18"/>
      <c r="AB12" s="18"/>
      <c r="AC12" s="18"/>
      <c r="AD12" s="18"/>
      <c r="AE12" s="15"/>
      <c r="AF12" s="15"/>
    </row>
    <row r="13" spans="1:32" x14ac:dyDescent="0.25">
      <c r="A13" t="str">
        <f t="shared" ca="1" si="0"/>
        <v>20140825-000013--190001000000@LIBRARY.NASHVILLE.ORG</v>
      </c>
      <c r="B13" s="15" t="str">
        <f t="shared" ref="B13:B76" si="3">IF($B$2=0,"",TEXT($B$2,""))</f>
        <v/>
      </c>
      <c r="C13" s="8"/>
      <c r="D13" s="16" t="str">
        <f t="shared" si="2"/>
        <v/>
      </c>
      <c r="E13" s="7"/>
      <c r="F13" s="7"/>
      <c r="G13" s="19"/>
      <c r="H13" s="9"/>
      <c r="I13" s="1" t="s">
        <v>201</v>
      </c>
      <c r="J13" s="6" t="s">
        <v>303</v>
      </c>
      <c r="K13" s="6" t="s">
        <v>21</v>
      </c>
      <c r="N13" s="1"/>
      <c r="O13" s="1"/>
      <c r="P13" s="18"/>
      <c r="Q13" s="18"/>
      <c r="R13" s="18"/>
      <c r="S13" s="18"/>
      <c r="T13" s="18"/>
      <c r="U13" s="18"/>
      <c r="V13" s="18"/>
      <c r="W13" s="18"/>
      <c r="X13" s="18"/>
      <c r="Y13" s="18"/>
      <c r="Z13" s="18"/>
      <c r="AA13" s="18"/>
      <c r="AB13" s="18"/>
      <c r="AC13" s="18"/>
      <c r="AD13" s="18"/>
      <c r="AE13" s="15"/>
      <c r="AF13" s="15"/>
    </row>
    <row r="14" spans="1:32" x14ac:dyDescent="0.25">
      <c r="A14" t="str">
        <f t="shared" ca="1" si="0"/>
        <v>20140825-000014--190001000000@LIBRARY.NASHVILLE.ORG</v>
      </c>
      <c r="B14" s="15" t="str">
        <f t="shared" si="3"/>
        <v/>
      </c>
      <c r="C14" s="8"/>
      <c r="D14" s="16" t="str">
        <f t="shared" si="2"/>
        <v/>
      </c>
      <c r="E14" s="7"/>
      <c r="F14" s="7"/>
      <c r="G14" s="19"/>
      <c r="H14" s="17"/>
      <c r="I14" s="1" t="s">
        <v>201</v>
      </c>
      <c r="J14" s="6" t="s">
        <v>303</v>
      </c>
      <c r="K14" s="6" t="s">
        <v>21</v>
      </c>
      <c r="N14" s="1"/>
      <c r="O14" s="1"/>
      <c r="P14" s="18"/>
      <c r="Q14" s="18"/>
      <c r="R14" s="18"/>
      <c r="S14" s="18"/>
      <c r="T14" s="18"/>
      <c r="U14" s="18"/>
      <c r="V14" s="18"/>
      <c r="W14" s="18"/>
      <c r="X14" s="18"/>
      <c r="Y14" s="18"/>
      <c r="Z14" s="18"/>
      <c r="AA14" s="18"/>
      <c r="AB14" s="18"/>
      <c r="AC14" s="18"/>
      <c r="AD14" s="18"/>
      <c r="AE14" s="15"/>
      <c r="AF14" s="15"/>
    </row>
    <row r="15" spans="1:32" x14ac:dyDescent="0.25">
      <c r="A15" t="str">
        <f t="shared" ca="1" si="0"/>
        <v>20140825-000015--190001000000@LIBRARY.NASHVILLE.ORG</v>
      </c>
      <c r="B15" s="15" t="str">
        <f t="shared" si="3"/>
        <v/>
      </c>
      <c r="C15" s="8"/>
      <c r="D15" s="16" t="str">
        <f t="shared" si="2"/>
        <v/>
      </c>
      <c r="E15" s="7"/>
      <c r="F15" s="7"/>
      <c r="G15" s="19"/>
      <c r="H15" s="23"/>
      <c r="I15" s="1" t="s">
        <v>201</v>
      </c>
      <c r="J15" s="6" t="s">
        <v>303</v>
      </c>
      <c r="K15" s="6" t="s">
        <v>21</v>
      </c>
      <c r="N15" s="1"/>
      <c r="O15" s="1"/>
      <c r="P15" s="18"/>
      <c r="Q15" s="18"/>
      <c r="R15" s="18"/>
      <c r="S15" s="18"/>
      <c r="T15" s="18"/>
      <c r="U15" s="18"/>
      <c r="V15" s="18"/>
      <c r="W15" s="18"/>
      <c r="X15" s="18"/>
      <c r="Y15" s="18"/>
      <c r="Z15" s="18"/>
      <c r="AA15" s="18"/>
      <c r="AB15" s="18"/>
      <c r="AC15" s="18"/>
      <c r="AD15" s="18"/>
      <c r="AE15" s="15"/>
      <c r="AF15" s="15"/>
    </row>
    <row r="16" spans="1:32" x14ac:dyDescent="0.25">
      <c r="A16" t="str">
        <f t="shared" ca="1" si="0"/>
        <v>20140825-000016--190001000000@LIBRARY.NASHVILLE.ORG</v>
      </c>
      <c r="B16" s="15" t="str">
        <f t="shared" si="3"/>
        <v/>
      </c>
      <c r="C16" s="8"/>
      <c r="D16" s="16" t="str">
        <f t="shared" si="2"/>
        <v/>
      </c>
      <c r="E16" s="7"/>
      <c r="F16" s="7"/>
      <c r="G16" s="19"/>
      <c r="H16" s="17"/>
      <c r="I16" s="1" t="s">
        <v>201</v>
      </c>
      <c r="J16" s="6" t="s">
        <v>303</v>
      </c>
      <c r="K16" s="6" t="s">
        <v>21</v>
      </c>
      <c r="N16" s="1"/>
      <c r="O16" s="1"/>
      <c r="P16" s="18"/>
      <c r="Q16" s="18"/>
      <c r="R16" s="18"/>
      <c r="S16" s="18"/>
      <c r="T16" s="18"/>
      <c r="U16" s="18"/>
      <c r="V16" s="18"/>
      <c r="W16" s="18"/>
      <c r="X16" s="18"/>
      <c r="Y16" s="18"/>
      <c r="Z16" s="18"/>
      <c r="AA16" s="18"/>
      <c r="AB16" s="18"/>
      <c r="AC16" s="18"/>
      <c r="AD16" s="18"/>
      <c r="AE16" s="15"/>
      <c r="AF16" s="15"/>
    </row>
    <row r="17" spans="1:32" x14ac:dyDescent="0.25">
      <c r="A17" t="str">
        <f t="shared" ca="1" si="0"/>
        <v>20140825-000017--190001000000@LIBRARY.NASHVILLE.ORG</v>
      </c>
      <c r="B17" s="15" t="str">
        <f t="shared" si="3"/>
        <v/>
      </c>
      <c r="C17" s="8"/>
      <c r="D17" s="16" t="str">
        <f t="shared" si="2"/>
        <v/>
      </c>
      <c r="E17" s="7"/>
      <c r="F17" s="7"/>
      <c r="G17" s="19"/>
      <c r="H17" s="17"/>
      <c r="I17" s="1" t="s">
        <v>201</v>
      </c>
      <c r="J17" s="6" t="s">
        <v>303</v>
      </c>
      <c r="K17" s="6" t="s">
        <v>21</v>
      </c>
      <c r="N17" s="1"/>
      <c r="O17" s="1"/>
      <c r="P17" s="18"/>
      <c r="Q17" s="18"/>
      <c r="R17" s="18"/>
      <c r="S17" s="18"/>
      <c r="T17" s="18"/>
      <c r="U17" s="18"/>
      <c r="V17" s="18"/>
      <c r="W17" s="18"/>
      <c r="X17" s="18"/>
      <c r="Y17" s="18"/>
      <c r="Z17" s="18"/>
      <c r="AA17" s="18"/>
      <c r="AB17" s="18"/>
      <c r="AC17" s="18"/>
      <c r="AD17" s="18"/>
      <c r="AE17" s="15"/>
      <c r="AF17" s="15"/>
    </row>
    <row r="18" spans="1:32" x14ac:dyDescent="0.25">
      <c r="A18" t="str">
        <f t="shared" ca="1" si="0"/>
        <v>20140825-000018--190001000000@LIBRARY.NASHVILLE.ORG</v>
      </c>
      <c r="B18" s="15" t="str">
        <f t="shared" si="3"/>
        <v/>
      </c>
      <c r="C18" s="8"/>
      <c r="D18" s="16" t="str">
        <f t="shared" si="2"/>
        <v/>
      </c>
      <c r="E18" s="7"/>
      <c r="F18" s="7"/>
      <c r="G18" s="19"/>
      <c r="H18" s="17"/>
      <c r="I18" s="1" t="s">
        <v>201</v>
      </c>
      <c r="J18" s="6" t="s">
        <v>303</v>
      </c>
      <c r="K18" s="6" t="s">
        <v>21</v>
      </c>
      <c r="N18" s="1"/>
      <c r="O18" s="1"/>
      <c r="P18" s="18"/>
      <c r="Q18" s="18"/>
      <c r="R18" s="18"/>
      <c r="S18" s="18"/>
      <c r="T18" s="18"/>
      <c r="U18" s="18"/>
      <c r="V18" s="18"/>
      <c r="W18" s="18"/>
      <c r="X18" s="18"/>
      <c r="Y18" s="18"/>
      <c r="Z18" s="18"/>
      <c r="AA18" s="18"/>
      <c r="AB18" s="18"/>
      <c r="AC18" s="18"/>
      <c r="AD18" s="18"/>
      <c r="AE18" s="15"/>
      <c r="AF18" s="15"/>
    </row>
    <row r="19" spans="1:32" x14ac:dyDescent="0.25">
      <c r="A19" t="str">
        <f t="shared" ca="1" si="0"/>
        <v>20140825-000019--190001000000@LIBRARY.NASHVILLE.ORG</v>
      </c>
      <c r="B19" s="15" t="str">
        <f t="shared" si="3"/>
        <v/>
      </c>
      <c r="C19" s="8"/>
      <c r="D19" s="16" t="str">
        <f t="shared" si="2"/>
        <v/>
      </c>
      <c r="E19" s="7"/>
      <c r="F19" s="7"/>
      <c r="G19" s="19"/>
      <c r="H19" s="17"/>
      <c r="I19" s="1" t="s">
        <v>201</v>
      </c>
      <c r="J19" s="6" t="s">
        <v>303</v>
      </c>
      <c r="K19" s="6" t="s">
        <v>21</v>
      </c>
      <c r="N19" s="1"/>
      <c r="O19" s="1"/>
      <c r="P19" s="18"/>
      <c r="Q19" s="18"/>
      <c r="R19" s="18"/>
      <c r="S19" s="18"/>
      <c r="T19" s="18"/>
      <c r="U19" s="18"/>
      <c r="V19" s="18"/>
      <c r="W19" s="18"/>
      <c r="X19" s="18"/>
      <c r="Y19" s="18"/>
      <c r="Z19" s="18"/>
      <c r="AA19" s="18"/>
      <c r="AB19" s="18"/>
      <c r="AC19" s="18"/>
      <c r="AD19" s="18"/>
      <c r="AE19" s="15"/>
      <c r="AF19" s="15"/>
    </row>
    <row r="20" spans="1:32" x14ac:dyDescent="0.25">
      <c r="A20" t="str">
        <f t="shared" ca="1" si="0"/>
        <v>20140825-000020--190001000000@LIBRARY.NASHVILLE.ORG</v>
      </c>
      <c r="B20" s="15" t="str">
        <f t="shared" si="3"/>
        <v/>
      </c>
      <c r="C20" s="8"/>
      <c r="D20" s="16" t="str">
        <f t="shared" si="2"/>
        <v/>
      </c>
      <c r="E20" s="7"/>
      <c r="F20" s="7"/>
      <c r="G20" s="19"/>
      <c r="H20" s="17"/>
      <c r="I20" s="1" t="s">
        <v>201</v>
      </c>
      <c r="J20" s="6" t="s">
        <v>303</v>
      </c>
      <c r="K20" s="6" t="s">
        <v>21</v>
      </c>
      <c r="N20" s="1"/>
      <c r="O20" s="1"/>
      <c r="P20" s="18"/>
      <c r="Q20" s="18"/>
      <c r="R20" s="18"/>
      <c r="S20" s="18"/>
      <c r="T20" s="18"/>
      <c r="U20" s="18"/>
      <c r="V20" s="18"/>
      <c r="W20" s="18"/>
      <c r="X20" s="18"/>
      <c r="Y20" s="18"/>
      <c r="Z20" s="18"/>
      <c r="AA20" s="18"/>
      <c r="AB20" s="18"/>
      <c r="AC20" s="18"/>
      <c r="AD20" s="18"/>
      <c r="AE20" s="15"/>
      <c r="AF20" s="15"/>
    </row>
    <row r="21" spans="1:32" x14ac:dyDescent="0.25">
      <c r="A21" t="str">
        <f t="shared" ca="1" si="0"/>
        <v>20140825-000021--190001000000@LIBRARY.NASHVILLE.ORG</v>
      </c>
      <c r="B21" s="15" t="str">
        <f t="shared" si="3"/>
        <v/>
      </c>
      <c r="C21" s="8"/>
      <c r="D21" s="16" t="str">
        <f t="shared" si="2"/>
        <v/>
      </c>
      <c r="E21" s="7"/>
      <c r="F21" s="7"/>
      <c r="G21" s="19"/>
      <c r="H21" s="17"/>
      <c r="I21" s="1" t="s">
        <v>201</v>
      </c>
      <c r="J21" s="6" t="s">
        <v>303</v>
      </c>
      <c r="K21" s="6" t="s">
        <v>21</v>
      </c>
      <c r="N21" s="1"/>
      <c r="O21" s="1"/>
      <c r="P21" s="18"/>
      <c r="Q21" s="18"/>
      <c r="R21" s="18"/>
      <c r="S21" s="18"/>
      <c r="T21" s="18"/>
      <c r="U21" s="18"/>
      <c r="V21" s="18"/>
      <c r="W21" s="18"/>
      <c r="X21" s="18"/>
      <c r="Y21" s="18"/>
      <c r="Z21" s="18"/>
      <c r="AA21" s="18"/>
      <c r="AB21" s="18"/>
      <c r="AC21" s="18"/>
      <c r="AD21" s="18"/>
      <c r="AE21" s="15"/>
      <c r="AF21" s="15"/>
    </row>
    <row r="22" spans="1:32" x14ac:dyDescent="0.25">
      <c r="A22" t="str">
        <f t="shared" ca="1" si="0"/>
        <v>20140825-000022--190001000000@LIBRARY.NASHVILLE.ORG</v>
      </c>
      <c r="B22" s="15" t="str">
        <f t="shared" si="3"/>
        <v/>
      </c>
      <c r="C22" s="8"/>
      <c r="D22" s="16" t="str">
        <f t="shared" si="2"/>
        <v/>
      </c>
      <c r="E22" s="7"/>
      <c r="F22" s="7"/>
      <c r="G22" s="19"/>
      <c r="H22" s="17"/>
      <c r="I22" s="1" t="s">
        <v>201</v>
      </c>
      <c r="J22" s="6" t="s">
        <v>303</v>
      </c>
      <c r="K22" s="6" t="s">
        <v>21</v>
      </c>
      <c r="N22" s="1"/>
      <c r="O22" s="1"/>
      <c r="P22" s="18"/>
      <c r="Q22" s="18"/>
      <c r="R22" s="18"/>
      <c r="S22" s="18"/>
      <c r="T22" s="18"/>
      <c r="U22" s="18"/>
      <c r="V22" s="18"/>
      <c r="W22" s="18"/>
      <c r="X22" s="18"/>
      <c r="Y22" s="18"/>
      <c r="Z22" s="18"/>
      <c r="AA22" s="18"/>
      <c r="AB22" s="18"/>
      <c r="AC22" s="18"/>
      <c r="AD22" s="18"/>
      <c r="AE22" s="15"/>
      <c r="AF22" s="15"/>
    </row>
    <row r="23" spans="1:32" x14ac:dyDescent="0.25">
      <c r="A23" t="str">
        <f t="shared" ca="1" si="0"/>
        <v>20140825-000023--190001000000@LIBRARY.NASHVILLE.ORG</v>
      </c>
      <c r="B23" s="15" t="str">
        <f t="shared" si="3"/>
        <v/>
      </c>
      <c r="C23" s="8"/>
      <c r="D23" s="16" t="str">
        <f t="shared" si="2"/>
        <v/>
      </c>
      <c r="E23" s="7"/>
      <c r="F23" s="7"/>
      <c r="G23" s="19"/>
      <c r="H23" s="17"/>
      <c r="I23" s="1" t="s">
        <v>201</v>
      </c>
      <c r="J23" s="6" t="s">
        <v>303</v>
      </c>
      <c r="K23" s="6" t="s">
        <v>21</v>
      </c>
      <c r="N23" s="1"/>
      <c r="O23" s="1"/>
      <c r="P23" s="18"/>
      <c r="Q23" s="18"/>
      <c r="R23" s="18"/>
      <c r="S23" s="18"/>
      <c r="T23" s="18"/>
      <c r="U23" s="18"/>
      <c r="V23" s="18"/>
      <c r="W23" s="18"/>
      <c r="X23" s="18"/>
      <c r="Y23" s="18"/>
      <c r="Z23" s="18"/>
      <c r="AA23" s="18"/>
      <c r="AB23" s="18"/>
      <c r="AC23" s="18"/>
      <c r="AD23" s="18"/>
      <c r="AE23" s="15"/>
      <c r="AF23" s="15"/>
    </row>
    <row r="24" spans="1:32" x14ac:dyDescent="0.25">
      <c r="A24" t="str">
        <f t="shared" ca="1" si="0"/>
        <v>20140825-000024--190001000000@LIBRARY.NASHVILLE.ORG</v>
      </c>
      <c r="B24" s="15" t="str">
        <f t="shared" si="3"/>
        <v/>
      </c>
      <c r="C24" s="8"/>
      <c r="D24" s="16" t="str">
        <f t="shared" si="2"/>
        <v/>
      </c>
      <c r="E24" s="7"/>
      <c r="F24" s="7"/>
      <c r="G24" s="19"/>
      <c r="H24" s="17"/>
      <c r="I24" s="1" t="s">
        <v>201</v>
      </c>
      <c r="J24" s="6" t="s">
        <v>303</v>
      </c>
      <c r="K24" s="6" t="s">
        <v>21</v>
      </c>
      <c r="N24" s="1"/>
      <c r="O24" s="1"/>
      <c r="P24" s="18"/>
      <c r="Q24" s="18"/>
      <c r="R24" s="18"/>
      <c r="S24" s="18"/>
      <c r="T24" s="18"/>
      <c r="U24" s="18"/>
      <c r="V24" s="18"/>
      <c r="W24" s="18"/>
      <c r="X24" s="18"/>
      <c r="Y24" s="18"/>
      <c r="Z24" s="18"/>
      <c r="AA24" s="18"/>
      <c r="AB24" s="18"/>
      <c r="AC24" s="18"/>
      <c r="AD24" s="18"/>
      <c r="AE24" s="15"/>
      <c r="AF24" s="15"/>
    </row>
    <row r="25" spans="1:32" x14ac:dyDescent="0.25">
      <c r="A25" t="str">
        <f t="shared" ca="1" si="0"/>
        <v>20140825-000025--190001000000@LIBRARY.NASHVILLE.ORG</v>
      </c>
      <c r="B25" s="15" t="str">
        <f t="shared" si="3"/>
        <v/>
      </c>
      <c r="C25" s="8"/>
      <c r="D25" s="16" t="str">
        <f t="shared" si="2"/>
        <v/>
      </c>
      <c r="E25" s="7"/>
      <c r="F25" s="7"/>
      <c r="G25" s="19"/>
      <c r="H25" s="17"/>
      <c r="I25" s="1" t="s">
        <v>201</v>
      </c>
      <c r="J25" s="6" t="s">
        <v>303</v>
      </c>
      <c r="K25" s="6" t="s">
        <v>21</v>
      </c>
      <c r="N25" s="1"/>
      <c r="O25" s="1"/>
      <c r="P25" s="18"/>
      <c r="Q25" s="18"/>
      <c r="R25" s="18"/>
      <c r="S25" s="18"/>
      <c r="T25" s="18"/>
      <c r="U25" s="18"/>
      <c r="V25" s="18"/>
      <c r="W25" s="18"/>
      <c r="X25" s="18"/>
      <c r="Y25" s="18"/>
      <c r="Z25" s="18"/>
      <c r="AA25" s="18"/>
      <c r="AB25" s="18"/>
      <c r="AC25" s="18"/>
      <c r="AD25" s="18"/>
      <c r="AE25" s="15"/>
      <c r="AF25" s="15"/>
    </row>
    <row r="26" spans="1:32" x14ac:dyDescent="0.25">
      <c r="A26" t="str">
        <f t="shared" ca="1" si="0"/>
        <v>20140825-000026--190001000000@LIBRARY.NASHVILLE.ORG</v>
      </c>
      <c r="B26" s="15" t="str">
        <f t="shared" si="3"/>
        <v/>
      </c>
      <c r="C26" s="8"/>
      <c r="D26" s="16" t="str">
        <f t="shared" si="2"/>
        <v/>
      </c>
      <c r="E26" s="7"/>
      <c r="F26" s="7"/>
      <c r="G26" s="19"/>
      <c r="H26" s="17"/>
      <c r="I26" s="1" t="s">
        <v>201</v>
      </c>
      <c r="J26" s="6" t="s">
        <v>303</v>
      </c>
      <c r="K26" s="6" t="s">
        <v>21</v>
      </c>
      <c r="N26" s="1"/>
      <c r="O26" s="1"/>
      <c r="P26" s="18"/>
      <c r="Q26" s="18"/>
      <c r="R26" s="18"/>
      <c r="S26" s="18"/>
      <c r="T26" s="18"/>
      <c r="U26" s="18"/>
      <c r="V26" s="18"/>
      <c r="W26" s="18"/>
      <c r="X26" s="18"/>
      <c r="Y26" s="18"/>
      <c r="Z26" s="18"/>
      <c r="AA26" s="18"/>
      <c r="AB26" s="18"/>
      <c r="AC26" s="18"/>
      <c r="AD26" s="18"/>
      <c r="AE26" s="15"/>
      <c r="AF26" s="15"/>
    </row>
    <row r="27" spans="1:32" x14ac:dyDescent="0.25">
      <c r="A27" t="str">
        <f t="shared" ca="1" si="0"/>
        <v>20140825-000027--190001000000@LIBRARY.NASHVILLE.ORG</v>
      </c>
      <c r="B27" s="15" t="str">
        <f t="shared" si="3"/>
        <v/>
      </c>
      <c r="C27" s="8"/>
      <c r="D27" s="16" t="str">
        <f t="shared" si="2"/>
        <v/>
      </c>
      <c r="E27" s="7"/>
      <c r="F27" s="7"/>
      <c r="G27" s="19"/>
      <c r="H27" s="17"/>
      <c r="I27" s="1" t="s">
        <v>201</v>
      </c>
      <c r="N27" s="1"/>
      <c r="O27" s="1"/>
      <c r="P27" s="18"/>
      <c r="Q27" s="18"/>
      <c r="R27" s="18"/>
      <c r="S27" s="18"/>
      <c r="T27" s="18"/>
      <c r="U27" s="18"/>
      <c r="V27" s="18"/>
      <c r="W27" s="18"/>
      <c r="X27" s="18"/>
      <c r="Y27" s="18"/>
      <c r="Z27" s="18"/>
      <c r="AA27" s="18"/>
      <c r="AB27" s="18"/>
      <c r="AC27" s="18"/>
      <c r="AD27" s="18"/>
      <c r="AE27" s="15"/>
      <c r="AF27" s="15"/>
    </row>
    <row r="28" spans="1:32" x14ac:dyDescent="0.25">
      <c r="A28" t="str">
        <f t="shared" ca="1" si="0"/>
        <v>20140825-000028--190001000000@LIBRARY.NASHVILLE.ORG</v>
      </c>
      <c r="B28" s="15" t="str">
        <f t="shared" si="3"/>
        <v/>
      </c>
      <c r="C28" s="8"/>
      <c r="D28" s="16" t="str">
        <f t="shared" si="2"/>
        <v/>
      </c>
      <c r="E28" s="7"/>
      <c r="F28" s="7"/>
      <c r="G28" s="19"/>
      <c r="H28" s="17"/>
      <c r="I28" s="1" t="s">
        <v>201</v>
      </c>
      <c r="N28" s="1"/>
      <c r="O28" s="1"/>
      <c r="P28" s="18"/>
      <c r="Q28" s="18"/>
      <c r="R28" s="18"/>
      <c r="S28" s="18"/>
      <c r="T28" s="18"/>
      <c r="U28" s="18"/>
      <c r="V28" s="18"/>
      <c r="W28" s="18"/>
      <c r="X28" s="18"/>
      <c r="Y28" s="18"/>
      <c r="Z28" s="18"/>
      <c r="AA28" s="18"/>
      <c r="AB28" s="18"/>
      <c r="AC28" s="18"/>
      <c r="AD28" s="18"/>
      <c r="AE28" s="15"/>
      <c r="AF28" s="15"/>
    </row>
    <row r="29" spans="1:32" x14ac:dyDescent="0.25">
      <c r="A29" t="str">
        <f t="shared" ca="1" si="0"/>
        <v>20140825-000029--190001000000@LIBRARY.NASHVILLE.ORG</v>
      </c>
      <c r="B29" s="15" t="str">
        <f t="shared" si="3"/>
        <v/>
      </c>
      <c r="C29" s="8"/>
      <c r="D29" s="16" t="str">
        <f t="shared" si="2"/>
        <v/>
      </c>
      <c r="E29" s="7"/>
      <c r="F29" s="7"/>
      <c r="G29" s="19"/>
      <c r="H29" s="17"/>
      <c r="I29" s="1" t="s">
        <v>201</v>
      </c>
      <c r="J29" s="6" t="s">
        <v>158</v>
      </c>
      <c r="L29" s="6" t="s">
        <v>173</v>
      </c>
      <c r="N29" s="1"/>
      <c r="O29" s="1"/>
      <c r="P29" s="18"/>
      <c r="Q29" s="18"/>
      <c r="R29" s="18"/>
      <c r="S29" s="18"/>
      <c r="T29" s="18"/>
      <c r="U29" s="18"/>
      <c r="V29" s="18"/>
      <c r="W29" s="18"/>
      <c r="X29" s="18"/>
      <c r="Y29" s="18"/>
      <c r="Z29" s="18"/>
      <c r="AA29" s="18"/>
      <c r="AB29" s="18"/>
      <c r="AC29" s="18"/>
      <c r="AD29" s="18"/>
      <c r="AE29" s="15"/>
      <c r="AF29" s="15"/>
    </row>
    <row r="30" spans="1:32" x14ac:dyDescent="0.25">
      <c r="A30" t="str">
        <f t="shared" ca="1" si="0"/>
        <v>20140825-000030--190001000000@LIBRARY.NASHVILLE.ORG</v>
      </c>
      <c r="B30" s="15"/>
      <c r="C30" s="8"/>
      <c r="D30" s="16" t="str">
        <f t="shared" si="2"/>
        <v/>
      </c>
      <c r="E30" s="7"/>
      <c r="F30" s="7"/>
      <c r="G30" s="19"/>
      <c r="H30" s="17"/>
      <c r="I30" s="1" t="s">
        <v>201</v>
      </c>
      <c r="J30" s="6" t="s">
        <v>158</v>
      </c>
      <c r="L30" s="6" t="s">
        <v>173</v>
      </c>
      <c r="N30" s="1"/>
      <c r="O30" s="1"/>
      <c r="P30" s="18"/>
      <c r="Q30" s="18"/>
      <c r="R30" s="18"/>
      <c r="S30" s="18"/>
      <c r="T30" s="18"/>
      <c r="U30" s="18"/>
      <c r="V30" s="18"/>
      <c r="W30" s="18"/>
      <c r="X30" s="18"/>
      <c r="Y30" s="18"/>
      <c r="Z30" s="18"/>
      <c r="AA30" s="18"/>
      <c r="AB30" s="18"/>
      <c r="AC30" s="18"/>
      <c r="AD30" s="18"/>
      <c r="AE30" s="15"/>
      <c r="AF30" s="15"/>
    </row>
    <row r="31" spans="1:32" x14ac:dyDescent="0.25">
      <c r="A31" t="str">
        <f t="shared" ca="1" si="0"/>
        <v>20140825-000031--190001000000@LIBRARY.NASHVILLE.ORG</v>
      </c>
      <c r="B31" s="15" t="str">
        <f t="shared" si="3"/>
        <v/>
      </c>
      <c r="C31" s="8"/>
      <c r="D31" s="16" t="str">
        <f t="shared" si="2"/>
        <v/>
      </c>
      <c r="E31" s="7"/>
      <c r="F31" s="7"/>
      <c r="G31" s="19"/>
      <c r="H31" s="17"/>
      <c r="I31" s="1" t="s">
        <v>201</v>
      </c>
      <c r="N31" s="1"/>
      <c r="O31" s="1"/>
      <c r="P31" s="18"/>
      <c r="Q31" s="18"/>
      <c r="R31" s="18"/>
      <c r="S31" s="18"/>
      <c r="T31" s="18"/>
      <c r="U31" s="18"/>
      <c r="V31" s="18"/>
      <c r="W31" s="18"/>
      <c r="X31" s="18"/>
      <c r="Y31" s="18"/>
      <c r="Z31" s="18"/>
      <c r="AA31" s="18"/>
      <c r="AB31" s="18"/>
      <c r="AC31" s="18"/>
      <c r="AD31" s="18"/>
      <c r="AE31" s="15"/>
      <c r="AF31" s="15"/>
    </row>
    <row r="32" spans="1:32" x14ac:dyDescent="0.25">
      <c r="A32" t="str">
        <f t="shared" ca="1" si="0"/>
        <v>20140825-000032--190001000000@LIBRARY.NASHVILLE.ORG</v>
      </c>
      <c r="B32" s="15" t="str">
        <f t="shared" si="3"/>
        <v/>
      </c>
      <c r="C32" s="8"/>
      <c r="D32" s="16" t="str">
        <f t="shared" si="2"/>
        <v/>
      </c>
      <c r="E32" s="7"/>
      <c r="F32" s="7"/>
      <c r="G32" s="19"/>
      <c r="H32" s="17"/>
      <c r="I32" s="1" t="s">
        <v>201</v>
      </c>
      <c r="N32" s="1"/>
      <c r="O32" s="1"/>
      <c r="P32" s="18"/>
      <c r="Q32" s="18"/>
      <c r="R32" s="18"/>
      <c r="S32" s="18"/>
      <c r="T32" s="18"/>
      <c r="U32" s="18"/>
      <c r="V32" s="18"/>
      <c r="W32" s="18"/>
      <c r="X32" s="18"/>
      <c r="Y32" s="18"/>
      <c r="Z32" s="18"/>
      <c r="AA32" s="18"/>
      <c r="AB32" s="18"/>
      <c r="AC32" s="18"/>
      <c r="AD32" s="18"/>
      <c r="AE32" s="15"/>
      <c r="AF32" s="15"/>
    </row>
    <row r="33" spans="1:32" x14ac:dyDescent="0.25">
      <c r="A33" t="str">
        <f t="shared" ca="1" si="0"/>
        <v>20140825-000033--190001000000@LIBRARY.NASHVILLE.ORG</v>
      </c>
      <c r="B33" s="15" t="str">
        <f t="shared" si="3"/>
        <v/>
      </c>
      <c r="C33" s="8"/>
      <c r="D33" s="16" t="str">
        <f t="shared" si="2"/>
        <v/>
      </c>
      <c r="E33" s="7"/>
      <c r="F33" s="7"/>
      <c r="G33" s="19"/>
      <c r="H33" s="17"/>
      <c r="I33" s="1" t="s">
        <v>201</v>
      </c>
      <c r="L33" s="6" t="s">
        <v>173</v>
      </c>
      <c r="N33" s="1"/>
      <c r="O33" s="1"/>
      <c r="P33" s="18"/>
      <c r="Q33" s="18"/>
      <c r="R33" s="18"/>
      <c r="S33" s="18"/>
      <c r="T33" s="18"/>
      <c r="U33" s="18"/>
      <c r="V33" s="18"/>
      <c r="W33" s="18"/>
      <c r="X33" s="18"/>
      <c r="Y33" s="18"/>
      <c r="Z33" s="18"/>
      <c r="AA33" s="18"/>
      <c r="AB33" s="18"/>
      <c r="AC33" s="18"/>
      <c r="AD33" s="18"/>
      <c r="AE33" s="15"/>
      <c r="AF33" s="15"/>
    </row>
    <row r="34" spans="1:32" x14ac:dyDescent="0.25">
      <c r="A34" t="str">
        <f t="shared" ca="1" si="0"/>
        <v>20140825-000034--190001000000@LIBRARY.NASHVILLE.ORG</v>
      </c>
      <c r="B34" s="15" t="str">
        <f t="shared" si="3"/>
        <v/>
      </c>
      <c r="C34" s="8"/>
      <c r="D34" s="16" t="str">
        <f t="shared" si="2"/>
        <v/>
      </c>
      <c r="E34" s="7"/>
      <c r="F34" s="7"/>
      <c r="G34" s="19"/>
      <c r="H34" s="17"/>
      <c r="I34" s="1" t="s">
        <v>201</v>
      </c>
      <c r="L34" s="6" t="s">
        <v>173</v>
      </c>
      <c r="N34" s="1"/>
      <c r="O34" s="1"/>
      <c r="P34" s="18"/>
      <c r="Q34" s="18"/>
      <c r="R34" s="18"/>
      <c r="S34" s="18"/>
      <c r="T34" s="18"/>
      <c r="U34" s="18"/>
      <c r="V34" s="18"/>
      <c r="W34" s="18"/>
      <c r="X34" s="18"/>
      <c r="Y34" s="18"/>
      <c r="Z34" s="18"/>
      <c r="AA34" s="18"/>
      <c r="AB34" s="18"/>
      <c r="AC34" s="18"/>
      <c r="AD34" s="18"/>
      <c r="AE34" s="15"/>
      <c r="AF34" s="15"/>
    </row>
    <row r="35" spans="1:32" x14ac:dyDescent="0.25">
      <c r="A35" t="str">
        <f t="shared" ca="1" si="0"/>
        <v>20140825-000035--190001000000@LIBRARY.NASHVILLE.ORG</v>
      </c>
      <c r="B35" s="15" t="str">
        <f t="shared" si="3"/>
        <v/>
      </c>
      <c r="C35" s="8"/>
      <c r="D35" s="16" t="str">
        <f t="shared" si="2"/>
        <v/>
      </c>
      <c r="E35" s="7"/>
      <c r="F35" s="7"/>
      <c r="G35" s="19"/>
      <c r="H35" s="17"/>
      <c r="I35" s="1" t="s">
        <v>201</v>
      </c>
      <c r="J35" s="6" t="s">
        <v>152</v>
      </c>
      <c r="L35" s="6" t="s">
        <v>173</v>
      </c>
      <c r="N35" s="1"/>
      <c r="O35" s="1"/>
      <c r="P35" s="18"/>
      <c r="Q35" s="18"/>
      <c r="R35" s="18"/>
      <c r="S35" s="18"/>
      <c r="T35" s="18"/>
      <c r="U35" s="18"/>
      <c r="V35" s="18"/>
      <c r="W35" s="18"/>
      <c r="X35" s="18"/>
      <c r="Y35" s="18"/>
      <c r="Z35" s="18"/>
      <c r="AA35" s="18"/>
      <c r="AB35" s="18"/>
      <c r="AC35" s="18"/>
      <c r="AD35" s="18"/>
      <c r="AE35" s="15"/>
      <c r="AF35" s="15"/>
    </row>
    <row r="36" spans="1:32" x14ac:dyDescent="0.25">
      <c r="A36" t="str">
        <f t="shared" ca="1" si="0"/>
        <v>20140825-000036--190001000000@LIBRARY.NASHVILLE.ORG</v>
      </c>
      <c r="B36" s="15" t="str">
        <f t="shared" si="3"/>
        <v/>
      </c>
      <c r="C36" s="8"/>
      <c r="D36" s="16" t="str">
        <f t="shared" si="2"/>
        <v/>
      </c>
      <c r="E36" s="7"/>
      <c r="F36" s="7"/>
      <c r="G36" s="19"/>
      <c r="H36" s="17"/>
      <c r="I36" s="1" t="s">
        <v>201</v>
      </c>
      <c r="L36" s="6" t="s">
        <v>173</v>
      </c>
      <c r="N36" s="1"/>
      <c r="O36" s="1"/>
      <c r="P36" s="18"/>
      <c r="Q36" s="18"/>
      <c r="R36" s="18"/>
      <c r="S36" s="18"/>
      <c r="T36" s="18"/>
      <c r="U36" s="18"/>
      <c r="V36" s="18"/>
      <c r="W36" s="18"/>
      <c r="X36" s="18"/>
      <c r="Y36" s="18"/>
      <c r="Z36" s="18"/>
      <c r="AA36" s="18"/>
      <c r="AB36" s="18"/>
      <c r="AC36" s="18"/>
      <c r="AD36" s="18"/>
      <c r="AE36" s="15"/>
      <c r="AF36" s="15"/>
    </row>
    <row r="37" spans="1:32" x14ac:dyDescent="0.25">
      <c r="A37" t="str">
        <f t="shared" ca="1" si="0"/>
        <v>20140825-000037--190001000000@LIBRARY.NASHVILLE.ORG</v>
      </c>
      <c r="B37" s="15" t="str">
        <f t="shared" si="3"/>
        <v/>
      </c>
      <c r="C37" s="8"/>
      <c r="D37" s="16" t="str">
        <f t="shared" si="2"/>
        <v/>
      </c>
      <c r="E37" s="7"/>
      <c r="F37" s="7"/>
      <c r="G37" s="19"/>
      <c r="H37" s="17"/>
      <c r="I37" s="1" t="s">
        <v>201</v>
      </c>
      <c r="J37" s="6" t="s">
        <v>158</v>
      </c>
      <c r="L37" s="6" t="s">
        <v>173</v>
      </c>
      <c r="N37" s="1"/>
      <c r="O37" s="1"/>
      <c r="P37" s="18"/>
      <c r="Q37" s="18"/>
      <c r="R37" s="18"/>
      <c r="S37" s="18"/>
      <c r="T37" s="18"/>
      <c r="U37" s="18"/>
      <c r="V37" s="18"/>
      <c r="W37" s="18"/>
      <c r="X37" s="18"/>
      <c r="Y37" s="18"/>
      <c r="Z37" s="18"/>
      <c r="AA37" s="18"/>
      <c r="AB37" s="18"/>
      <c r="AC37" s="18"/>
      <c r="AD37" s="18"/>
      <c r="AE37" s="15"/>
      <c r="AF37" s="15"/>
    </row>
    <row r="38" spans="1:32" x14ac:dyDescent="0.25">
      <c r="A38" t="str">
        <f t="shared" ca="1" si="0"/>
        <v>20140825-000038--190001000000@LIBRARY.NASHVILLE.ORG</v>
      </c>
      <c r="B38" s="15" t="str">
        <f t="shared" si="3"/>
        <v/>
      </c>
      <c r="C38" s="8"/>
      <c r="D38" s="16" t="str">
        <f t="shared" si="2"/>
        <v/>
      </c>
      <c r="E38" s="7"/>
      <c r="F38" s="7"/>
      <c r="G38" s="19"/>
      <c r="H38" s="17"/>
      <c r="I38" s="1" t="s">
        <v>201</v>
      </c>
      <c r="J38" s="6" t="s">
        <v>158</v>
      </c>
      <c r="L38" s="6" t="s">
        <v>173</v>
      </c>
      <c r="N38" s="1"/>
      <c r="O38" s="1"/>
      <c r="P38" s="18"/>
      <c r="Q38" s="18"/>
      <c r="R38" s="18"/>
      <c r="S38" s="18"/>
      <c r="T38" s="18"/>
      <c r="U38" s="18"/>
      <c r="V38" s="18"/>
      <c r="W38" s="18"/>
      <c r="X38" s="18"/>
      <c r="Y38" s="18"/>
      <c r="Z38" s="18"/>
      <c r="AA38" s="18"/>
      <c r="AB38" s="18"/>
      <c r="AC38" s="18"/>
      <c r="AD38" s="18"/>
      <c r="AE38" s="15"/>
      <c r="AF38" s="15"/>
    </row>
    <row r="39" spans="1:32" x14ac:dyDescent="0.25">
      <c r="A39" t="str">
        <f t="shared" ca="1" si="0"/>
        <v>20140825-000039--190001000000@LIBRARY.NASHVILLE.ORG</v>
      </c>
      <c r="B39" s="15" t="str">
        <f t="shared" si="3"/>
        <v/>
      </c>
      <c r="C39" s="8"/>
      <c r="D39" s="16" t="str">
        <f t="shared" si="2"/>
        <v/>
      </c>
      <c r="E39" s="7"/>
      <c r="F39" s="7"/>
      <c r="G39" s="19"/>
      <c r="H39" s="17"/>
      <c r="I39" s="1"/>
      <c r="N39" s="1"/>
      <c r="O39" s="1"/>
      <c r="P39" s="18"/>
      <c r="Q39" s="18"/>
      <c r="R39" s="18"/>
      <c r="S39" s="18"/>
      <c r="T39" s="18"/>
      <c r="U39" s="18"/>
      <c r="V39" s="18"/>
      <c r="W39" s="18"/>
      <c r="X39" s="18"/>
      <c r="Y39" s="18"/>
      <c r="Z39" s="18"/>
      <c r="AA39" s="18"/>
      <c r="AB39" s="18"/>
      <c r="AC39" s="18"/>
      <c r="AD39" s="18"/>
      <c r="AE39" s="15"/>
      <c r="AF39" s="15"/>
    </row>
    <row r="40" spans="1:32" x14ac:dyDescent="0.25">
      <c r="A40" t="str">
        <f t="shared" ca="1" si="0"/>
        <v>20140825-000040--190001000000@LIBRARY.NASHVILLE.ORG</v>
      </c>
      <c r="B40" s="15" t="str">
        <f t="shared" si="3"/>
        <v/>
      </c>
      <c r="C40" s="8"/>
      <c r="D40" s="16" t="str">
        <f t="shared" si="2"/>
        <v/>
      </c>
      <c r="E40" s="7"/>
      <c r="F40" s="7"/>
      <c r="G40" s="19"/>
      <c r="H40" s="17"/>
      <c r="I40" s="1" t="s">
        <v>201</v>
      </c>
      <c r="J40" s="6" t="s">
        <v>152</v>
      </c>
      <c r="L40" s="6" t="s">
        <v>173</v>
      </c>
      <c r="N40" s="1"/>
      <c r="O40" s="1"/>
      <c r="P40" s="18"/>
      <c r="Q40" s="18"/>
      <c r="R40" s="18"/>
      <c r="S40" s="18"/>
      <c r="T40" s="18"/>
      <c r="U40" s="18"/>
      <c r="V40" s="18"/>
      <c r="W40" s="18"/>
      <c r="X40" s="18"/>
      <c r="Y40" s="18"/>
      <c r="Z40" s="18"/>
      <c r="AA40" s="18"/>
      <c r="AB40" s="18"/>
      <c r="AC40" s="18"/>
      <c r="AD40" s="18"/>
      <c r="AE40" s="15"/>
      <c r="AF40" s="15"/>
    </row>
    <row r="41" spans="1:32" x14ac:dyDescent="0.25">
      <c r="A41" t="str">
        <f t="shared" ca="1" si="0"/>
        <v>20140825-000041--190001000000@LIBRARY.NASHVILLE.ORG</v>
      </c>
      <c r="B41" s="15" t="str">
        <f t="shared" si="3"/>
        <v/>
      </c>
      <c r="C41" s="8"/>
      <c r="D41" s="16" t="str">
        <f t="shared" si="2"/>
        <v/>
      </c>
      <c r="E41" s="7"/>
      <c r="F41" s="7"/>
      <c r="G41" s="19"/>
      <c r="H41" s="23"/>
      <c r="I41" s="1"/>
      <c r="N41" s="1"/>
      <c r="O41" s="1"/>
      <c r="P41" s="18"/>
      <c r="Q41" s="18"/>
      <c r="R41" s="18"/>
      <c r="S41" s="18"/>
      <c r="T41" s="18"/>
      <c r="U41" s="18"/>
      <c r="V41" s="18"/>
      <c r="W41" s="18"/>
      <c r="X41" s="18"/>
      <c r="Y41" s="18"/>
      <c r="Z41" s="18"/>
      <c r="AA41" s="18"/>
      <c r="AB41" s="18"/>
      <c r="AC41" s="18"/>
      <c r="AD41" s="18"/>
      <c r="AE41" s="15"/>
      <c r="AF41" s="15"/>
    </row>
    <row r="42" spans="1:32" x14ac:dyDescent="0.25">
      <c r="A42" t="str">
        <f t="shared" ca="1" si="0"/>
        <v>20140825-000042--190001000000@LIBRARY.NASHVILLE.ORG</v>
      </c>
      <c r="B42" s="15" t="str">
        <f t="shared" si="3"/>
        <v/>
      </c>
      <c r="C42" s="8"/>
      <c r="D42" s="16" t="str">
        <f t="shared" si="2"/>
        <v/>
      </c>
      <c r="E42" s="7"/>
      <c r="F42" s="7"/>
      <c r="G42" s="19"/>
      <c r="H42" s="17"/>
      <c r="I42" s="1" t="s">
        <v>201</v>
      </c>
      <c r="L42" s="6" t="s">
        <v>173</v>
      </c>
      <c r="N42" s="1"/>
      <c r="O42" s="1"/>
      <c r="P42" s="18"/>
      <c r="Q42" s="18"/>
      <c r="R42" s="18"/>
      <c r="S42" s="18"/>
      <c r="T42" s="18"/>
      <c r="U42" s="18"/>
      <c r="V42" s="18"/>
      <c r="W42" s="18"/>
      <c r="X42" s="18"/>
      <c r="Y42" s="18"/>
      <c r="Z42" s="18"/>
      <c r="AA42" s="18"/>
      <c r="AB42" s="18"/>
      <c r="AC42" s="18"/>
      <c r="AD42" s="18"/>
      <c r="AE42" s="15"/>
      <c r="AF42" s="15"/>
    </row>
    <row r="43" spans="1:32" x14ac:dyDescent="0.25">
      <c r="A43" t="str">
        <f t="shared" ca="1" si="0"/>
        <v>20140825-000043--190001000000@LIBRARY.NASHVILLE.ORG</v>
      </c>
      <c r="B43" s="15" t="str">
        <f t="shared" si="3"/>
        <v/>
      </c>
      <c r="C43" s="8"/>
      <c r="D43" s="16" t="str">
        <f t="shared" si="2"/>
        <v/>
      </c>
      <c r="E43" s="7"/>
      <c r="F43" s="7"/>
      <c r="G43" s="19"/>
      <c r="H43" s="17"/>
      <c r="I43" s="1" t="s">
        <v>201</v>
      </c>
      <c r="L43" s="6" t="s">
        <v>173</v>
      </c>
      <c r="N43" s="1"/>
      <c r="O43" s="1"/>
      <c r="P43" s="18"/>
      <c r="Q43" s="18"/>
      <c r="R43" s="18"/>
      <c r="S43" s="18"/>
      <c r="T43" s="18"/>
      <c r="U43" s="18"/>
      <c r="V43" s="18"/>
      <c r="W43" s="18"/>
      <c r="X43" s="18"/>
      <c r="Y43" s="18"/>
      <c r="Z43" s="18"/>
      <c r="AA43" s="18"/>
      <c r="AB43" s="18"/>
      <c r="AC43" s="18"/>
      <c r="AD43" s="18"/>
      <c r="AE43" s="15"/>
      <c r="AF43" s="15"/>
    </row>
    <row r="44" spans="1:32" x14ac:dyDescent="0.25">
      <c r="A44" t="str">
        <f t="shared" ca="1" si="0"/>
        <v>20140825-000044--190001000000@LIBRARY.NASHVILLE.ORG</v>
      </c>
      <c r="B44" s="15" t="str">
        <f t="shared" si="3"/>
        <v/>
      </c>
      <c r="C44" s="8"/>
      <c r="D44" s="16" t="str">
        <f t="shared" si="2"/>
        <v/>
      </c>
      <c r="E44" s="7"/>
      <c r="F44" s="7"/>
      <c r="G44" s="19"/>
      <c r="H44" s="22"/>
      <c r="I44" s="1" t="s">
        <v>201</v>
      </c>
      <c r="K44" s="6" t="s">
        <v>273</v>
      </c>
      <c r="L44" s="6" t="s">
        <v>173</v>
      </c>
      <c r="N44" s="1"/>
      <c r="O44" s="1"/>
      <c r="P44" s="18"/>
      <c r="Q44" s="18"/>
      <c r="R44" s="18"/>
      <c r="S44" s="18"/>
      <c r="T44" s="18"/>
      <c r="U44" s="18"/>
      <c r="V44" s="18"/>
      <c r="W44" s="18"/>
      <c r="X44" s="18"/>
      <c r="Y44" s="18"/>
      <c r="Z44" s="18"/>
      <c r="AA44" s="18"/>
      <c r="AB44" s="18"/>
      <c r="AC44" s="18"/>
      <c r="AD44" s="18"/>
      <c r="AE44" s="15"/>
      <c r="AF44" s="15"/>
    </row>
    <row r="45" spans="1:32" x14ac:dyDescent="0.25">
      <c r="A45" t="str">
        <f t="shared" ca="1" si="0"/>
        <v>20140825-000045--190001000000@LIBRARY.NASHVILLE.ORG</v>
      </c>
      <c r="B45" s="15" t="str">
        <f t="shared" si="3"/>
        <v/>
      </c>
      <c r="C45" s="8"/>
      <c r="D45" s="16" t="str">
        <f t="shared" si="2"/>
        <v/>
      </c>
      <c r="E45" s="7"/>
      <c r="F45" s="7"/>
      <c r="G45" s="19"/>
      <c r="H45" s="17"/>
      <c r="I45" s="1" t="s">
        <v>201</v>
      </c>
      <c r="N45" s="1"/>
      <c r="O45" s="1"/>
      <c r="P45" s="18"/>
      <c r="Q45" s="18"/>
      <c r="R45" s="18"/>
      <c r="S45" s="18"/>
      <c r="T45" s="18"/>
      <c r="U45" s="18"/>
      <c r="V45" s="18"/>
      <c r="W45" s="18"/>
      <c r="X45" s="18"/>
      <c r="Y45" s="18"/>
      <c r="Z45" s="18"/>
      <c r="AA45" s="18"/>
      <c r="AB45" s="18"/>
      <c r="AC45" s="18"/>
      <c r="AD45" s="18"/>
      <c r="AE45" s="15"/>
      <c r="AF45" s="15"/>
    </row>
    <row r="46" spans="1:32" x14ac:dyDescent="0.25">
      <c r="A46" t="str">
        <f t="shared" ca="1" si="0"/>
        <v>20140825-000046--190001000000@LIBRARY.NASHVILLE.ORG</v>
      </c>
      <c r="B46" s="15" t="str">
        <f t="shared" si="3"/>
        <v/>
      </c>
      <c r="C46" s="8"/>
      <c r="D46" s="16" t="str">
        <f t="shared" si="2"/>
        <v/>
      </c>
      <c r="E46" s="7"/>
      <c r="F46" s="7"/>
      <c r="G46" s="19"/>
      <c r="H46" s="17"/>
      <c r="I46" s="1" t="s">
        <v>201</v>
      </c>
      <c r="N46" s="1"/>
      <c r="O46" s="1"/>
      <c r="P46" s="18"/>
      <c r="Q46" s="18"/>
      <c r="R46" s="18"/>
      <c r="S46" s="18"/>
      <c r="T46" s="18"/>
      <c r="U46" s="18"/>
      <c r="V46" s="18"/>
      <c r="W46" s="18"/>
      <c r="X46" s="18"/>
      <c r="Y46" s="18"/>
      <c r="Z46" s="18"/>
      <c r="AA46" s="18"/>
      <c r="AB46" s="18"/>
      <c r="AC46" s="18"/>
      <c r="AD46" s="18"/>
      <c r="AE46" s="15"/>
      <c r="AF46" s="15"/>
    </row>
    <row r="47" spans="1:32" x14ac:dyDescent="0.25">
      <c r="A47" t="str">
        <f t="shared" ca="1" si="0"/>
        <v>20140825-000047--190001000000@LIBRARY.NASHVILLE.ORG</v>
      </c>
      <c r="B47" s="15" t="str">
        <f t="shared" si="3"/>
        <v/>
      </c>
      <c r="C47" s="8"/>
      <c r="D47" s="16" t="str">
        <f t="shared" si="2"/>
        <v/>
      </c>
      <c r="E47" s="7"/>
      <c r="F47" s="7"/>
      <c r="G47" s="19"/>
      <c r="H47" s="22"/>
      <c r="I47" s="1" t="s">
        <v>201</v>
      </c>
      <c r="K47" s="6" t="s">
        <v>181</v>
      </c>
      <c r="N47" s="1"/>
      <c r="O47" s="1"/>
      <c r="P47" s="18"/>
      <c r="Q47" s="18"/>
      <c r="R47" s="18"/>
      <c r="S47" s="18"/>
      <c r="T47" s="18"/>
      <c r="U47" s="18"/>
      <c r="V47" s="18"/>
      <c r="W47" s="18"/>
      <c r="X47" s="18"/>
      <c r="Y47" s="18"/>
      <c r="Z47" s="18"/>
      <c r="AA47" s="18"/>
      <c r="AB47" s="18"/>
      <c r="AC47" s="18"/>
      <c r="AD47" s="18"/>
      <c r="AE47" s="15"/>
      <c r="AF47" s="15"/>
    </row>
    <row r="48" spans="1:32" x14ac:dyDescent="0.25">
      <c r="A48" t="str">
        <f t="shared" ca="1" si="0"/>
        <v>20140825-000048--190001000000@LIBRARY.NASHVILLE.ORG</v>
      </c>
      <c r="B48" s="15" t="str">
        <f t="shared" si="3"/>
        <v/>
      </c>
      <c r="C48" s="8"/>
      <c r="D48" s="16" t="str">
        <f t="shared" si="2"/>
        <v/>
      </c>
      <c r="E48" s="7"/>
      <c r="F48" s="7"/>
      <c r="G48" s="19"/>
      <c r="H48" s="17"/>
      <c r="I48" s="1" t="s">
        <v>201</v>
      </c>
      <c r="K48" s="6" t="s">
        <v>181</v>
      </c>
      <c r="N48" s="1"/>
      <c r="O48" s="1"/>
      <c r="P48" s="18"/>
      <c r="Q48" s="18"/>
      <c r="R48" s="18"/>
      <c r="S48" s="18"/>
      <c r="T48" s="18"/>
      <c r="U48" s="18"/>
      <c r="V48" s="18"/>
      <c r="W48" s="18"/>
      <c r="X48" s="18"/>
      <c r="Y48" s="18"/>
      <c r="Z48" s="18"/>
      <c r="AA48" s="18"/>
      <c r="AB48" s="18"/>
      <c r="AC48" s="18"/>
      <c r="AD48" s="18"/>
      <c r="AE48" s="15"/>
      <c r="AF48" s="15"/>
    </row>
    <row r="49" spans="1:32" x14ac:dyDescent="0.25">
      <c r="A49" t="str">
        <f t="shared" ca="1" si="0"/>
        <v>20140825-000049--190001000000@LIBRARY.NASHVILLE.ORG</v>
      </c>
      <c r="B49" s="15" t="str">
        <f t="shared" si="3"/>
        <v/>
      </c>
      <c r="C49" s="8"/>
      <c r="D49" s="16" t="str">
        <f t="shared" si="2"/>
        <v/>
      </c>
      <c r="E49" s="7"/>
      <c r="F49" s="7"/>
      <c r="G49" s="19"/>
      <c r="H49" s="17"/>
      <c r="I49" s="1" t="s">
        <v>201</v>
      </c>
      <c r="K49" s="6" t="s">
        <v>181</v>
      </c>
      <c r="N49" s="1"/>
      <c r="O49" s="1"/>
      <c r="P49" s="18"/>
      <c r="Q49" s="18"/>
      <c r="R49" s="18"/>
      <c r="S49" s="18"/>
      <c r="T49" s="18"/>
      <c r="U49" s="18"/>
      <c r="V49" s="18"/>
      <c r="W49" s="18"/>
      <c r="X49" s="18"/>
      <c r="Y49" s="18"/>
      <c r="Z49" s="18"/>
      <c r="AA49" s="18"/>
      <c r="AB49" s="18"/>
      <c r="AC49" s="18"/>
      <c r="AD49" s="18"/>
      <c r="AE49" s="15"/>
      <c r="AF49" s="15"/>
    </row>
    <row r="50" spans="1:32" x14ac:dyDescent="0.25">
      <c r="A50" t="str">
        <f t="shared" ca="1" si="0"/>
        <v>20140825-000050--190001000000@LIBRARY.NASHVILLE.ORG</v>
      </c>
      <c r="B50" s="15" t="str">
        <f t="shared" si="3"/>
        <v/>
      </c>
      <c r="C50" s="14"/>
      <c r="D50" s="16" t="str">
        <f t="shared" si="2"/>
        <v/>
      </c>
      <c r="E50" s="20"/>
      <c r="F50" s="7"/>
      <c r="G50" s="19"/>
      <c r="H50" s="23"/>
      <c r="I50" s="1"/>
      <c r="N50" s="1"/>
      <c r="O50" s="1"/>
      <c r="P50" s="18"/>
      <c r="Q50" s="18"/>
      <c r="R50" s="18"/>
      <c r="S50" s="18"/>
      <c r="T50" s="18"/>
      <c r="U50" s="18"/>
      <c r="V50" s="18"/>
      <c r="W50" s="18"/>
      <c r="X50" s="18"/>
      <c r="Y50" s="18"/>
      <c r="Z50" s="18"/>
      <c r="AA50" s="18"/>
      <c r="AB50" s="18"/>
      <c r="AC50" s="18"/>
      <c r="AD50" s="18"/>
      <c r="AE50" s="15"/>
      <c r="AF50" s="15"/>
    </row>
    <row r="51" spans="1:32" x14ac:dyDescent="0.25">
      <c r="A51" t="str">
        <f t="shared" ca="1" si="0"/>
        <v>20140825-000051--190001000000@LIBRARY.NASHVILLE.ORG</v>
      </c>
      <c r="B51" s="15" t="str">
        <f t="shared" si="3"/>
        <v/>
      </c>
      <c r="C51" s="14"/>
      <c r="D51" s="16" t="str">
        <f t="shared" si="2"/>
        <v/>
      </c>
      <c r="E51" s="21"/>
      <c r="F51" s="7"/>
      <c r="G51" s="19"/>
      <c r="H51" s="17"/>
      <c r="I51" s="1"/>
      <c r="N51" s="1"/>
      <c r="O51" s="1"/>
      <c r="P51" s="18"/>
      <c r="Q51" s="18"/>
      <c r="R51" s="18"/>
      <c r="S51" s="18"/>
      <c r="T51" s="18"/>
      <c r="U51" s="18"/>
      <c r="V51" s="18"/>
      <c r="W51" s="18"/>
      <c r="X51" s="18"/>
      <c r="Y51" s="18"/>
      <c r="Z51" s="18"/>
      <c r="AA51" s="18"/>
      <c r="AB51" s="18"/>
      <c r="AC51" s="18"/>
      <c r="AD51" s="18"/>
      <c r="AE51" s="15"/>
      <c r="AF51" s="15"/>
    </row>
    <row r="52" spans="1:32" x14ac:dyDescent="0.25">
      <c r="A52" t="str">
        <f t="shared" ca="1" si="0"/>
        <v>20140825-000052--190001000000@LIBRARY.NASHVILLE.ORG</v>
      </c>
      <c r="B52" s="15" t="str">
        <f t="shared" si="3"/>
        <v/>
      </c>
      <c r="C52" s="14"/>
      <c r="D52" s="16" t="str">
        <f t="shared" si="2"/>
        <v/>
      </c>
      <c r="E52" s="20"/>
      <c r="F52" s="7"/>
      <c r="G52" s="19"/>
      <c r="H52" s="17"/>
      <c r="I52" s="1"/>
      <c r="N52" s="1"/>
      <c r="O52" s="1"/>
      <c r="P52" s="18"/>
      <c r="Q52" s="18"/>
      <c r="R52" s="18"/>
      <c r="S52" s="18"/>
      <c r="T52" s="18"/>
      <c r="U52" s="18"/>
      <c r="V52" s="18"/>
      <c r="W52" s="18"/>
      <c r="X52" s="18"/>
      <c r="Y52" s="18"/>
      <c r="Z52" s="18"/>
      <c r="AA52" s="18"/>
      <c r="AB52" s="18"/>
      <c r="AC52" s="18"/>
      <c r="AD52" s="18"/>
      <c r="AE52" s="15"/>
      <c r="AF52" s="15"/>
    </row>
    <row r="53" spans="1:32" x14ac:dyDescent="0.25">
      <c r="A53" t="str">
        <f t="shared" ca="1" si="0"/>
        <v>20140825-000053--190001000000@LIBRARY.NASHVILLE.ORG</v>
      </c>
      <c r="B53" s="15" t="str">
        <f t="shared" si="3"/>
        <v/>
      </c>
      <c r="C53" s="14"/>
      <c r="D53" s="16" t="str">
        <f t="shared" si="2"/>
        <v/>
      </c>
      <c r="E53" s="20"/>
      <c r="F53" s="7"/>
      <c r="G53" s="19"/>
      <c r="H53" s="17"/>
      <c r="I53" s="1"/>
      <c r="N53" s="1"/>
      <c r="O53" s="1"/>
      <c r="P53" s="18"/>
      <c r="Q53" s="18"/>
      <c r="R53" s="18"/>
      <c r="S53" s="18"/>
      <c r="T53" s="18"/>
      <c r="U53" s="18"/>
      <c r="V53" s="18"/>
      <c r="W53" s="18"/>
      <c r="X53" s="18"/>
      <c r="Y53" s="18"/>
      <c r="Z53" s="18"/>
      <c r="AA53" s="18"/>
      <c r="AB53" s="18"/>
      <c r="AC53" s="18"/>
      <c r="AD53" s="18"/>
      <c r="AE53" s="15"/>
      <c r="AF53" s="15"/>
    </row>
    <row r="54" spans="1:32" x14ac:dyDescent="0.25">
      <c r="A54" t="str">
        <f t="shared" ca="1" si="0"/>
        <v>20140825-000054--190001000000@LIBRARY.NASHVILLE.ORG</v>
      </c>
      <c r="B54" s="15" t="str">
        <f t="shared" si="3"/>
        <v/>
      </c>
      <c r="C54" s="14"/>
      <c r="D54" s="16" t="str">
        <f t="shared" si="2"/>
        <v/>
      </c>
      <c r="E54" s="21"/>
      <c r="F54" s="7"/>
      <c r="G54" s="19"/>
      <c r="H54" s="17"/>
      <c r="I54" s="1"/>
      <c r="N54" s="1"/>
      <c r="O54" s="1"/>
      <c r="P54" s="18"/>
      <c r="Q54" s="18"/>
      <c r="R54" s="18"/>
      <c r="S54" s="18"/>
      <c r="T54" s="18"/>
      <c r="U54" s="18"/>
      <c r="V54" s="18"/>
      <c r="W54" s="18"/>
      <c r="X54" s="18"/>
      <c r="Y54" s="18"/>
      <c r="Z54" s="18"/>
      <c r="AA54" s="18"/>
      <c r="AB54" s="18"/>
      <c r="AC54" s="18"/>
      <c r="AD54" s="18"/>
      <c r="AE54" s="15"/>
      <c r="AF54" s="15"/>
    </row>
    <row r="55" spans="1:32" x14ac:dyDescent="0.25">
      <c r="A55" t="str">
        <f t="shared" ca="1" si="0"/>
        <v>20140825-000055--190001000000@LIBRARY.NASHVILLE.ORG</v>
      </c>
      <c r="B55" s="15" t="str">
        <f t="shared" si="3"/>
        <v/>
      </c>
      <c r="C55" s="14"/>
      <c r="D55" s="16" t="str">
        <f t="shared" si="2"/>
        <v/>
      </c>
      <c r="E55" s="20"/>
      <c r="F55" s="7"/>
      <c r="G55" s="19"/>
      <c r="H55" s="17"/>
      <c r="I55" s="1"/>
      <c r="N55" s="1"/>
      <c r="O55" s="1"/>
      <c r="P55" s="18"/>
      <c r="Q55" s="18"/>
      <c r="R55" s="18"/>
      <c r="S55" s="18"/>
      <c r="T55" s="18"/>
      <c r="U55" s="18"/>
      <c r="V55" s="18"/>
      <c r="W55" s="18"/>
      <c r="X55" s="18"/>
      <c r="Y55" s="18"/>
      <c r="Z55" s="18"/>
      <c r="AA55" s="18"/>
      <c r="AB55" s="18"/>
      <c r="AC55" s="18"/>
      <c r="AD55" s="18"/>
      <c r="AE55" s="15"/>
      <c r="AF55" s="15"/>
    </row>
    <row r="56" spans="1:32" x14ac:dyDescent="0.25">
      <c r="A56" t="str">
        <f t="shared" ca="1" si="0"/>
        <v>20140825-000056--190001000000@LIBRARY.NASHVILLE.ORG</v>
      </c>
      <c r="B56" s="15" t="str">
        <f t="shared" si="3"/>
        <v/>
      </c>
      <c r="C56" s="14"/>
      <c r="D56" s="16" t="str">
        <f t="shared" si="2"/>
        <v/>
      </c>
      <c r="E56" s="21"/>
      <c r="F56" s="7"/>
      <c r="G56" s="19"/>
      <c r="H56" s="17"/>
      <c r="I56" s="1"/>
      <c r="N56" s="1"/>
      <c r="O56" s="1"/>
      <c r="P56" s="18"/>
      <c r="Q56" s="18"/>
      <c r="R56" s="18"/>
      <c r="S56" s="18"/>
      <c r="T56" s="18"/>
      <c r="U56" s="18"/>
      <c r="V56" s="18"/>
      <c r="W56" s="18"/>
      <c r="X56" s="18"/>
      <c r="Y56" s="18"/>
      <c r="Z56" s="18"/>
      <c r="AA56" s="18"/>
      <c r="AB56" s="18"/>
      <c r="AC56" s="18"/>
      <c r="AD56" s="18"/>
      <c r="AE56" s="15"/>
      <c r="AF56" s="15"/>
    </row>
    <row r="57" spans="1:32" x14ac:dyDescent="0.25">
      <c r="A57" t="str">
        <f t="shared" ca="1" si="0"/>
        <v>20140825-000057--190001000000@LIBRARY.NASHVILLE.ORG</v>
      </c>
      <c r="B57" s="15" t="str">
        <f t="shared" si="3"/>
        <v/>
      </c>
      <c r="C57" s="14"/>
      <c r="D57" s="16" t="str">
        <f t="shared" si="2"/>
        <v/>
      </c>
      <c r="E57" s="20"/>
      <c r="F57" s="7"/>
      <c r="G57" s="19"/>
      <c r="H57" s="17"/>
      <c r="I57" s="1"/>
      <c r="N57" s="1"/>
      <c r="O57" s="1"/>
      <c r="P57" s="18"/>
      <c r="Q57" s="18"/>
      <c r="R57" s="18"/>
      <c r="S57" s="18"/>
      <c r="T57" s="18"/>
      <c r="U57" s="18"/>
      <c r="V57" s="18"/>
      <c r="W57" s="18"/>
      <c r="X57" s="18"/>
      <c r="Y57" s="18"/>
      <c r="Z57" s="18"/>
      <c r="AA57" s="18"/>
      <c r="AB57" s="18"/>
      <c r="AC57" s="18"/>
      <c r="AD57" s="18"/>
      <c r="AE57" s="15"/>
      <c r="AF57" s="15"/>
    </row>
    <row r="58" spans="1:32" x14ac:dyDescent="0.25">
      <c r="A58" t="str">
        <f t="shared" ca="1" si="0"/>
        <v>20140825-000058--190001000000@LIBRARY.NASHVILLE.ORG</v>
      </c>
      <c r="B58" s="15" t="str">
        <f t="shared" si="3"/>
        <v/>
      </c>
      <c r="C58" s="14"/>
      <c r="D58" s="16" t="str">
        <f t="shared" si="2"/>
        <v/>
      </c>
      <c r="E58" s="20"/>
      <c r="F58" s="7"/>
      <c r="G58" s="19"/>
      <c r="H58" s="17"/>
      <c r="I58" s="1"/>
      <c r="N58" s="1"/>
      <c r="O58" s="1"/>
      <c r="P58" s="18"/>
      <c r="Q58" s="18"/>
      <c r="R58" s="18"/>
      <c r="S58" s="18"/>
      <c r="T58" s="18"/>
      <c r="U58" s="18"/>
      <c r="V58" s="18"/>
      <c r="W58" s="18"/>
      <c r="X58" s="18"/>
      <c r="Y58" s="18"/>
      <c r="Z58" s="18"/>
      <c r="AA58" s="18"/>
      <c r="AB58" s="18"/>
      <c r="AC58" s="18"/>
      <c r="AD58" s="18"/>
      <c r="AE58" s="15"/>
      <c r="AF58" s="15"/>
    </row>
    <row r="59" spans="1:32" x14ac:dyDescent="0.25">
      <c r="A59" t="str">
        <f t="shared" ca="1" si="0"/>
        <v>20140825-000059--190001000000@LIBRARY.NASHVILLE.ORG</v>
      </c>
      <c r="B59" s="15" t="str">
        <f t="shared" si="3"/>
        <v/>
      </c>
      <c r="C59" s="14"/>
      <c r="D59" s="16" t="str">
        <f t="shared" si="2"/>
        <v/>
      </c>
      <c r="E59" s="20"/>
      <c r="F59" s="7"/>
      <c r="G59" s="19"/>
      <c r="H59" s="17"/>
      <c r="I59" s="1"/>
      <c r="N59" s="1"/>
      <c r="O59" s="1"/>
      <c r="P59" s="18"/>
      <c r="Q59" s="18"/>
      <c r="R59" s="18"/>
      <c r="S59" s="18"/>
      <c r="T59" s="18"/>
      <c r="U59" s="18"/>
      <c r="V59" s="18"/>
      <c r="W59" s="18"/>
      <c r="X59" s="18"/>
      <c r="Y59" s="18"/>
      <c r="Z59" s="18"/>
      <c r="AA59" s="18"/>
      <c r="AB59" s="18"/>
      <c r="AC59" s="18"/>
      <c r="AD59" s="18"/>
      <c r="AE59" s="15"/>
      <c r="AF59" s="15"/>
    </row>
    <row r="60" spans="1:32" x14ac:dyDescent="0.25">
      <c r="A60" t="str">
        <f t="shared" ca="1" si="0"/>
        <v>20140825-000060--190001000000@LIBRARY.NASHVILLE.ORG</v>
      </c>
      <c r="B60" s="15" t="str">
        <f t="shared" si="3"/>
        <v/>
      </c>
      <c r="C60" s="14"/>
      <c r="D60" s="16" t="str">
        <f t="shared" si="2"/>
        <v/>
      </c>
      <c r="E60" s="20"/>
      <c r="F60" s="7"/>
      <c r="G60" s="19"/>
      <c r="H60" s="17"/>
      <c r="I60" s="1"/>
      <c r="N60" s="1"/>
      <c r="O60" s="1"/>
      <c r="P60" s="18"/>
      <c r="Q60" s="18"/>
      <c r="R60" s="18"/>
      <c r="S60" s="18"/>
      <c r="T60" s="18"/>
      <c r="U60" s="18"/>
      <c r="V60" s="18"/>
      <c r="W60" s="18"/>
      <c r="X60" s="18"/>
      <c r="Y60" s="18"/>
      <c r="Z60" s="18"/>
      <c r="AA60" s="18"/>
      <c r="AB60" s="18"/>
      <c r="AC60" s="18"/>
      <c r="AD60" s="18"/>
      <c r="AE60" s="15"/>
      <c r="AF60" s="15"/>
    </row>
    <row r="61" spans="1:32" x14ac:dyDescent="0.25">
      <c r="A61" t="str">
        <f t="shared" ca="1" si="0"/>
        <v>20140825-000061--190001000000@LIBRARY.NASHVILLE.ORG</v>
      </c>
      <c r="B61" s="15" t="str">
        <f t="shared" si="3"/>
        <v/>
      </c>
      <c r="C61" s="14"/>
      <c r="D61" s="16" t="str">
        <f t="shared" si="2"/>
        <v/>
      </c>
      <c r="E61" s="20"/>
      <c r="F61" s="7"/>
      <c r="G61" s="19"/>
      <c r="H61" s="17"/>
      <c r="I61" s="1"/>
      <c r="N61" s="1"/>
      <c r="O61" s="1"/>
      <c r="P61" s="18"/>
      <c r="Q61" s="18"/>
      <c r="R61" s="18"/>
      <c r="S61" s="18"/>
      <c r="T61" s="18"/>
      <c r="U61" s="18"/>
      <c r="V61" s="18"/>
      <c r="W61" s="18"/>
      <c r="X61" s="18"/>
      <c r="Y61" s="18"/>
      <c r="Z61" s="18"/>
      <c r="AA61" s="18"/>
      <c r="AB61" s="18"/>
      <c r="AC61" s="18"/>
      <c r="AD61" s="18"/>
      <c r="AE61" s="15"/>
      <c r="AF61" s="15"/>
    </row>
    <row r="62" spans="1:32" x14ac:dyDescent="0.25">
      <c r="A62" t="str">
        <f t="shared" ca="1" si="0"/>
        <v>20140825-000062--190001000000@LIBRARY.NASHVILLE.ORG</v>
      </c>
      <c r="B62" s="15" t="str">
        <f t="shared" si="3"/>
        <v/>
      </c>
      <c r="C62" s="14"/>
      <c r="D62" s="16" t="str">
        <f t="shared" si="2"/>
        <v/>
      </c>
      <c r="E62" s="20"/>
      <c r="F62" s="7"/>
      <c r="G62" s="19"/>
      <c r="H62" s="17"/>
      <c r="I62" s="1"/>
      <c r="N62" s="1"/>
      <c r="O62" s="1"/>
      <c r="P62" s="18"/>
      <c r="Q62" s="18"/>
      <c r="R62" s="18"/>
      <c r="S62" s="18"/>
      <c r="T62" s="18"/>
      <c r="U62" s="18"/>
      <c r="V62" s="18"/>
      <c r="W62" s="18"/>
      <c r="X62" s="18"/>
      <c r="Y62" s="18"/>
      <c r="Z62" s="18"/>
      <c r="AA62" s="18"/>
      <c r="AB62" s="18"/>
      <c r="AC62" s="18"/>
      <c r="AD62" s="18"/>
      <c r="AE62" s="15"/>
      <c r="AF62" s="15"/>
    </row>
    <row r="63" spans="1:32" x14ac:dyDescent="0.25">
      <c r="A63" t="str">
        <f t="shared" ca="1" si="0"/>
        <v>20140825-000063--190001000000@LIBRARY.NASHVILLE.ORG</v>
      </c>
      <c r="B63" s="15" t="str">
        <f t="shared" si="3"/>
        <v/>
      </c>
      <c r="C63" s="14"/>
      <c r="D63" s="16" t="str">
        <f t="shared" si="2"/>
        <v/>
      </c>
      <c r="E63" s="21"/>
      <c r="F63" s="7"/>
      <c r="G63" s="19"/>
      <c r="H63" s="17"/>
      <c r="I63" s="1"/>
      <c r="N63" s="1"/>
      <c r="O63" s="1"/>
      <c r="P63" s="18"/>
      <c r="Q63" s="18"/>
      <c r="R63" s="18"/>
      <c r="S63" s="18"/>
      <c r="T63" s="18"/>
      <c r="U63" s="18"/>
      <c r="V63" s="18"/>
      <c r="W63" s="18"/>
      <c r="X63" s="18"/>
      <c r="Y63" s="18"/>
      <c r="Z63" s="18"/>
      <c r="AA63" s="18"/>
      <c r="AB63" s="18"/>
      <c r="AC63" s="18"/>
      <c r="AD63" s="18"/>
      <c r="AE63" s="15"/>
      <c r="AF63" s="15"/>
    </row>
    <row r="64" spans="1:32" x14ac:dyDescent="0.25">
      <c r="A64" t="str">
        <f t="shared" ca="1" si="0"/>
        <v>20140825-000064--190001000000@LIBRARY.NASHVILLE.ORG</v>
      </c>
      <c r="B64" s="15" t="str">
        <f t="shared" si="3"/>
        <v/>
      </c>
      <c r="C64" s="14"/>
      <c r="D64" s="16" t="str">
        <f t="shared" si="2"/>
        <v/>
      </c>
      <c r="E64" s="21"/>
      <c r="F64" s="7"/>
      <c r="G64" s="19"/>
      <c r="H64" s="17"/>
      <c r="I64" s="1"/>
      <c r="N64" s="1"/>
      <c r="O64" s="1"/>
      <c r="P64" s="18"/>
      <c r="Q64" s="18"/>
      <c r="R64" s="18"/>
      <c r="S64" s="18"/>
      <c r="T64" s="18"/>
      <c r="U64" s="18"/>
      <c r="V64" s="18"/>
      <c r="W64" s="18"/>
      <c r="X64" s="18"/>
      <c r="Y64" s="18"/>
      <c r="Z64" s="18"/>
      <c r="AA64" s="18"/>
      <c r="AB64" s="18"/>
      <c r="AC64" s="18"/>
      <c r="AD64" s="18"/>
      <c r="AE64" s="15"/>
      <c r="AF64" s="15"/>
    </row>
    <row r="65" spans="1:32" x14ac:dyDescent="0.25">
      <c r="A65" t="str">
        <f t="shared" ca="1" si="0"/>
        <v>20140825-000065--190001000000@LIBRARY.NASHVILLE.ORG</v>
      </c>
      <c r="B65" s="15" t="str">
        <f t="shared" si="3"/>
        <v/>
      </c>
      <c r="C65" s="14"/>
      <c r="D65" s="16" t="str">
        <f t="shared" si="2"/>
        <v/>
      </c>
      <c r="E65" s="21"/>
      <c r="F65" s="7"/>
      <c r="G65" s="19"/>
      <c r="H65" s="17"/>
      <c r="I65" s="1"/>
      <c r="N65" s="1"/>
      <c r="O65" s="1"/>
      <c r="P65" s="18"/>
      <c r="Q65" s="18"/>
      <c r="R65" s="18"/>
      <c r="S65" s="18"/>
      <c r="T65" s="18"/>
      <c r="U65" s="18"/>
      <c r="V65" s="18"/>
      <c r="W65" s="18"/>
      <c r="X65" s="18"/>
      <c r="Y65" s="18"/>
      <c r="Z65" s="18"/>
      <c r="AA65" s="18"/>
      <c r="AB65" s="18"/>
      <c r="AC65" s="18"/>
      <c r="AD65" s="18"/>
      <c r="AE65" s="15"/>
      <c r="AF65" s="15"/>
    </row>
    <row r="66" spans="1:32" x14ac:dyDescent="0.25">
      <c r="A66" t="str">
        <f t="shared" ref="A66:A129" ca="1" si="4">UPPER(CONCATENATE(TEXT(TODAY(),"yyyymmdd"),"-",TEXT(ROW(),"000000"),"-",SUBSTITUTE(B66," ",""),"-",TEXT(C66,"yyyymmdd"),TEXT(E66,"hhmm"),"@library.nashville.org"))</f>
        <v>20140825-000066--190001000000@LIBRARY.NASHVILLE.ORG</v>
      </c>
      <c r="B66" s="15" t="str">
        <f t="shared" si="3"/>
        <v/>
      </c>
      <c r="C66" s="14"/>
      <c r="D66" s="16" t="str">
        <f t="shared" si="2"/>
        <v/>
      </c>
      <c r="E66" s="21"/>
      <c r="F66" s="7"/>
      <c r="G66" s="19"/>
      <c r="H66" s="17"/>
      <c r="I66" s="1"/>
      <c r="N66" s="1"/>
      <c r="O66" s="1"/>
      <c r="P66" s="18"/>
      <c r="Q66" s="18"/>
      <c r="R66" s="18"/>
      <c r="S66" s="18"/>
      <c r="T66" s="18"/>
      <c r="U66" s="18"/>
      <c r="V66" s="18"/>
      <c r="W66" s="18"/>
      <c r="X66" s="18"/>
      <c r="Y66" s="18"/>
      <c r="Z66" s="18"/>
      <c r="AA66" s="18"/>
      <c r="AB66" s="18"/>
      <c r="AC66" s="18"/>
      <c r="AD66" s="18"/>
      <c r="AE66" s="15"/>
      <c r="AF66" s="15"/>
    </row>
    <row r="67" spans="1:32" x14ac:dyDescent="0.25">
      <c r="A67" t="str">
        <f t="shared" ca="1" si="4"/>
        <v>20140825-000067--190001000000@LIBRARY.NASHVILLE.ORG</v>
      </c>
      <c r="B67" s="15" t="str">
        <f t="shared" si="3"/>
        <v/>
      </c>
      <c r="C67" s="14"/>
      <c r="D67" s="16" t="str">
        <f t="shared" ref="D67:D130" si="5">IF(C67=0,"",TEXT($C67,"dddd"))</f>
        <v/>
      </c>
      <c r="E67" s="21"/>
      <c r="F67" s="7"/>
      <c r="G67" s="19"/>
      <c r="H67" s="17"/>
      <c r="I67" s="1"/>
      <c r="N67" s="1"/>
      <c r="O67" s="1"/>
      <c r="P67" s="18"/>
      <c r="Q67" s="18"/>
      <c r="R67" s="18"/>
      <c r="S67" s="18"/>
      <c r="T67" s="18"/>
      <c r="U67" s="18"/>
      <c r="V67" s="18"/>
      <c r="W67" s="18"/>
      <c r="X67" s="18"/>
      <c r="Y67" s="18"/>
      <c r="Z67" s="18"/>
      <c r="AA67" s="18"/>
      <c r="AB67" s="18"/>
      <c r="AC67" s="18"/>
      <c r="AD67" s="18"/>
      <c r="AE67" s="15"/>
      <c r="AF67" s="15"/>
    </row>
    <row r="68" spans="1:32" x14ac:dyDescent="0.25">
      <c r="A68" t="str">
        <f t="shared" ca="1" si="4"/>
        <v>20140825-000068--190001000000@LIBRARY.NASHVILLE.ORG</v>
      </c>
      <c r="B68" s="15" t="str">
        <f t="shared" si="3"/>
        <v/>
      </c>
      <c r="C68" s="14"/>
      <c r="D68" s="16" t="str">
        <f t="shared" si="5"/>
        <v/>
      </c>
      <c r="E68" s="21"/>
      <c r="F68" s="7"/>
      <c r="G68" s="19"/>
      <c r="H68" s="17"/>
      <c r="I68" s="1"/>
      <c r="N68" s="1"/>
      <c r="O68" s="1"/>
      <c r="P68" s="18"/>
      <c r="Q68" s="18"/>
      <c r="R68" s="18"/>
      <c r="S68" s="18"/>
      <c r="T68" s="18"/>
      <c r="U68" s="18"/>
      <c r="V68" s="18"/>
      <c r="W68" s="18"/>
      <c r="X68" s="18"/>
      <c r="Y68" s="18"/>
      <c r="Z68" s="18"/>
      <c r="AA68" s="18"/>
      <c r="AB68" s="18"/>
      <c r="AC68" s="18"/>
      <c r="AD68" s="18"/>
      <c r="AE68" s="15"/>
      <c r="AF68" s="15"/>
    </row>
    <row r="69" spans="1:32" x14ac:dyDescent="0.25">
      <c r="A69" t="str">
        <f t="shared" ca="1" si="4"/>
        <v>20140825-000069--190001000000@LIBRARY.NASHVILLE.ORG</v>
      </c>
      <c r="B69" s="15" t="str">
        <f t="shared" si="3"/>
        <v/>
      </c>
      <c r="C69" s="14"/>
      <c r="D69" s="16" t="str">
        <f t="shared" si="5"/>
        <v/>
      </c>
      <c r="E69" s="21"/>
      <c r="F69" s="7"/>
      <c r="G69" s="19"/>
      <c r="H69" s="17"/>
      <c r="I69" s="1"/>
      <c r="N69" s="1"/>
      <c r="O69" s="1"/>
      <c r="P69" s="18"/>
      <c r="Q69" s="18"/>
      <c r="R69" s="18"/>
      <c r="S69" s="18"/>
      <c r="T69" s="18"/>
      <c r="U69" s="18"/>
      <c r="V69" s="18"/>
      <c r="W69" s="18"/>
      <c r="X69" s="18"/>
      <c r="Y69" s="18"/>
      <c r="Z69" s="18"/>
      <c r="AA69" s="18"/>
      <c r="AB69" s="18"/>
      <c r="AC69" s="18"/>
      <c r="AD69" s="18"/>
      <c r="AE69" s="15"/>
      <c r="AF69" s="15"/>
    </row>
    <row r="70" spans="1:32" x14ac:dyDescent="0.25">
      <c r="A70" t="str">
        <f t="shared" ca="1" si="4"/>
        <v>20140825-000070--190001000000@LIBRARY.NASHVILLE.ORG</v>
      </c>
      <c r="B70" s="15" t="str">
        <f t="shared" si="3"/>
        <v/>
      </c>
      <c r="C70" s="14"/>
      <c r="D70" s="16" t="str">
        <f t="shared" si="5"/>
        <v/>
      </c>
      <c r="E70" s="21"/>
      <c r="F70" s="7"/>
      <c r="G70" s="19"/>
      <c r="H70" s="17"/>
      <c r="I70" s="1"/>
      <c r="N70" s="1"/>
      <c r="O70" s="1"/>
      <c r="P70" s="18"/>
      <c r="Q70" s="18"/>
      <c r="R70" s="18"/>
      <c r="S70" s="18"/>
      <c r="T70" s="18"/>
      <c r="U70" s="18"/>
      <c r="V70" s="18"/>
      <c r="W70" s="18"/>
      <c r="X70" s="18"/>
      <c r="Y70" s="18"/>
      <c r="Z70" s="18"/>
      <c r="AA70" s="18"/>
      <c r="AB70" s="18"/>
      <c r="AC70" s="18"/>
      <c r="AD70" s="18"/>
      <c r="AE70" s="15"/>
      <c r="AF70" s="15"/>
    </row>
    <row r="71" spans="1:32" x14ac:dyDescent="0.25">
      <c r="A71" t="str">
        <f t="shared" ca="1" si="4"/>
        <v>20140825-000071--190001000000@LIBRARY.NASHVILLE.ORG</v>
      </c>
      <c r="B71" s="15" t="str">
        <f t="shared" si="3"/>
        <v/>
      </c>
      <c r="C71" s="15"/>
      <c r="D71" s="16" t="str">
        <f t="shared" si="5"/>
        <v/>
      </c>
      <c r="E71" s="21"/>
      <c r="F71" s="7"/>
      <c r="G71" s="19"/>
      <c r="H71" s="17"/>
      <c r="I71" s="1"/>
      <c r="N71" s="1"/>
      <c r="O71" s="1"/>
      <c r="P71" s="18"/>
      <c r="Q71" s="18"/>
      <c r="R71" s="18"/>
      <c r="S71" s="18"/>
      <c r="T71" s="18"/>
      <c r="U71" s="18"/>
      <c r="V71" s="18"/>
      <c r="W71" s="18"/>
      <c r="X71" s="18"/>
      <c r="Y71" s="18"/>
      <c r="Z71" s="18"/>
      <c r="AA71" s="18"/>
      <c r="AB71" s="18"/>
      <c r="AC71" s="18"/>
      <c r="AD71" s="18"/>
      <c r="AE71" s="15"/>
      <c r="AF71" s="15"/>
    </row>
    <row r="72" spans="1:32" x14ac:dyDescent="0.25">
      <c r="A72" t="str">
        <f t="shared" ca="1" si="4"/>
        <v>20140825-000072--190001000000@LIBRARY.NASHVILLE.ORG</v>
      </c>
      <c r="B72" s="15" t="str">
        <f t="shared" si="3"/>
        <v/>
      </c>
      <c r="C72" s="15"/>
      <c r="D72" s="16" t="str">
        <f t="shared" si="5"/>
        <v/>
      </c>
      <c r="E72" s="21"/>
      <c r="F72" s="7"/>
      <c r="G72" s="19"/>
      <c r="H72" s="17"/>
      <c r="I72" s="1"/>
      <c r="N72" s="1"/>
      <c r="O72" s="1"/>
      <c r="P72" s="18"/>
      <c r="Q72" s="18"/>
      <c r="R72" s="18"/>
      <c r="S72" s="18"/>
      <c r="T72" s="18"/>
      <c r="U72" s="18"/>
      <c r="V72" s="18"/>
      <c r="W72" s="18"/>
      <c r="X72" s="18"/>
      <c r="Y72" s="18"/>
      <c r="Z72" s="18"/>
      <c r="AA72" s="18"/>
      <c r="AB72" s="18"/>
      <c r="AC72" s="18"/>
      <c r="AD72" s="18"/>
      <c r="AE72" s="15"/>
      <c r="AF72" s="15"/>
    </row>
    <row r="73" spans="1:32" x14ac:dyDescent="0.25">
      <c r="A73" t="str">
        <f t="shared" ca="1" si="4"/>
        <v>20140825-000073--190001000000@LIBRARY.NASHVILLE.ORG</v>
      </c>
      <c r="B73" s="15" t="str">
        <f t="shared" si="3"/>
        <v/>
      </c>
      <c r="C73" s="15"/>
      <c r="D73" s="16" t="str">
        <f t="shared" si="5"/>
        <v/>
      </c>
      <c r="E73" s="21"/>
      <c r="F73" s="7"/>
      <c r="G73" s="19"/>
      <c r="H73" s="17"/>
      <c r="I73" s="1"/>
      <c r="N73" s="1"/>
      <c r="O73" s="1"/>
      <c r="P73" s="18"/>
      <c r="Q73" s="18"/>
      <c r="R73" s="18"/>
      <c r="S73" s="18"/>
      <c r="T73" s="18"/>
      <c r="U73" s="18"/>
      <c r="V73" s="18"/>
      <c r="W73" s="18"/>
      <c r="X73" s="18"/>
      <c r="Y73" s="18"/>
      <c r="Z73" s="18"/>
      <c r="AA73" s="18"/>
      <c r="AB73" s="18"/>
      <c r="AC73" s="18"/>
      <c r="AD73" s="18"/>
      <c r="AE73" s="15"/>
      <c r="AF73" s="15"/>
    </row>
    <row r="74" spans="1:32" x14ac:dyDescent="0.25">
      <c r="A74" t="str">
        <f t="shared" ca="1" si="4"/>
        <v>20140825-000074--190001000000@LIBRARY.NASHVILLE.ORG</v>
      </c>
      <c r="B74" s="15" t="str">
        <f t="shared" si="3"/>
        <v/>
      </c>
      <c r="C74" s="15"/>
      <c r="D74" s="16" t="str">
        <f t="shared" si="5"/>
        <v/>
      </c>
      <c r="E74" s="21"/>
      <c r="F74" s="7"/>
      <c r="G74" s="19"/>
      <c r="H74" s="17"/>
      <c r="I74" s="1"/>
      <c r="N74" s="1"/>
      <c r="O74" s="1"/>
      <c r="P74" s="18"/>
      <c r="Q74" s="18"/>
      <c r="R74" s="18"/>
      <c r="S74" s="18"/>
      <c r="T74" s="18"/>
      <c r="U74" s="18"/>
      <c r="V74" s="18"/>
      <c r="W74" s="18"/>
      <c r="X74" s="18"/>
      <c r="Y74" s="18"/>
      <c r="Z74" s="18"/>
      <c r="AA74" s="18"/>
      <c r="AB74" s="18"/>
      <c r="AC74" s="18"/>
      <c r="AD74" s="18"/>
      <c r="AE74" s="15"/>
      <c r="AF74" s="15"/>
    </row>
    <row r="75" spans="1:32" x14ac:dyDescent="0.25">
      <c r="A75" t="str">
        <f t="shared" ca="1" si="4"/>
        <v>20140825-000075--190001000000@LIBRARY.NASHVILLE.ORG</v>
      </c>
      <c r="B75" s="15" t="str">
        <f t="shared" si="3"/>
        <v/>
      </c>
      <c r="C75" s="15"/>
      <c r="D75" s="16" t="str">
        <f t="shared" si="5"/>
        <v/>
      </c>
      <c r="E75" s="21"/>
      <c r="F75" s="7"/>
      <c r="G75" s="19"/>
      <c r="H75" s="17"/>
      <c r="I75" s="1"/>
      <c r="N75" s="1"/>
      <c r="O75" s="1"/>
      <c r="P75" s="18"/>
      <c r="Q75" s="18"/>
      <c r="R75" s="18"/>
      <c r="S75" s="18"/>
      <c r="T75" s="18"/>
      <c r="U75" s="18"/>
      <c r="V75" s="18"/>
      <c r="W75" s="18"/>
      <c r="X75" s="18"/>
      <c r="Y75" s="18"/>
      <c r="Z75" s="18"/>
      <c r="AA75" s="18"/>
      <c r="AB75" s="18"/>
      <c r="AC75" s="18"/>
      <c r="AD75" s="18"/>
      <c r="AE75" s="15"/>
      <c r="AF75" s="15"/>
    </row>
    <row r="76" spans="1:32" x14ac:dyDescent="0.25">
      <c r="A76" t="str">
        <f t="shared" ca="1" si="4"/>
        <v>20140825-000076--190001000000@LIBRARY.NASHVILLE.ORG</v>
      </c>
      <c r="B76" s="15" t="str">
        <f t="shared" si="3"/>
        <v/>
      </c>
      <c r="C76" s="15"/>
      <c r="D76" s="16" t="str">
        <f t="shared" si="5"/>
        <v/>
      </c>
      <c r="E76" s="21"/>
      <c r="F76" s="7"/>
      <c r="G76" s="19"/>
      <c r="H76" s="17"/>
      <c r="I76" s="1"/>
      <c r="N76" s="1"/>
      <c r="O76" s="1"/>
      <c r="P76" s="18"/>
      <c r="Q76" s="18"/>
      <c r="R76" s="18"/>
      <c r="S76" s="18"/>
      <c r="T76" s="18"/>
      <c r="U76" s="18"/>
      <c r="V76" s="18"/>
      <c r="W76" s="18"/>
      <c r="X76" s="18"/>
      <c r="Y76" s="18"/>
      <c r="Z76" s="18"/>
      <c r="AA76" s="18"/>
      <c r="AB76" s="18"/>
      <c r="AC76" s="18"/>
      <c r="AD76" s="18"/>
      <c r="AE76" s="15"/>
      <c r="AF76" s="15"/>
    </row>
    <row r="77" spans="1:32" x14ac:dyDescent="0.25">
      <c r="A77" t="str">
        <f t="shared" ca="1" si="4"/>
        <v>20140825-000077--190001000000@LIBRARY.NASHVILLE.ORG</v>
      </c>
      <c r="B77" s="15" t="str">
        <f t="shared" ref="B77:B140" si="6">IF($B$2=0,"",TEXT($B$2,""))</f>
        <v/>
      </c>
      <c r="C77" s="15"/>
      <c r="D77" s="16" t="str">
        <f t="shared" si="5"/>
        <v/>
      </c>
      <c r="E77" s="21"/>
      <c r="F77" s="7"/>
      <c r="G77" s="19"/>
      <c r="H77" s="17"/>
      <c r="I77" s="1"/>
      <c r="N77" s="1"/>
      <c r="O77" s="1"/>
      <c r="P77" s="18"/>
      <c r="Q77" s="18"/>
      <c r="R77" s="18"/>
      <c r="S77" s="18"/>
      <c r="T77" s="18"/>
      <c r="U77" s="18"/>
      <c r="V77" s="18"/>
      <c r="W77" s="18"/>
      <c r="X77" s="18"/>
      <c r="Y77" s="18"/>
      <c r="Z77" s="18"/>
      <c r="AA77" s="18"/>
      <c r="AB77" s="18"/>
      <c r="AC77" s="18"/>
      <c r="AD77" s="18"/>
      <c r="AE77" s="15"/>
      <c r="AF77" s="15"/>
    </row>
    <row r="78" spans="1:32" x14ac:dyDescent="0.25">
      <c r="A78" t="str">
        <f t="shared" ca="1" si="4"/>
        <v>20140825-000078--190001000000@LIBRARY.NASHVILLE.ORG</v>
      </c>
      <c r="B78" s="15" t="str">
        <f t="shared" si="6"/>
        <v/>
      </c>
      <c r="C78" s="15"/>
      <c r="D78" s="16" t="str">
        <f t="shared" si="5"/>
        <v/>
      </c>
      <c r="E78" s="21"/>
      <c r="F78" s="7"/>
      <c r="G78" s="19"/>
      <c r="H78" s="17"/>
      <c r="I78" s="1"/>
      <c r="N78" s="1"/>
      <c r="O78" s="1"/>
      <c r="P78" s="18"/>
      <c r="Q78" s="18"/>
      <c r="R78" s="18"/>
      <c r="S78" s="18"/>
      <c r="T78" s="18"/>
      <c r="U78" s="18"/>
      <c r="V78" s="18"/>
      <c r="W78" s="18"/>
      <c r="X78" s="18"/>
      <c r="Y78" s="18"/>
      <c r="Z78" s="18"/>
      <c r="AA78" s="18"/>
      <c r="AB78" s="18"/>
      <c r="AC78" s="18"/>
      <c r="AD78" s="18"/>
      <c r="AE78" s="15"/>
      <c r="AF78" s="15"/>
    </row>
    <row r="79" spans="1:32" x14ac:dyDescent="0.25">
      <c r="A79" t="str">
        <f t="shared" ca="1" si="4"/>
        <v>20140825-000079--190001000000@LIBRARY.NASHVILLE.ORG</v>
      </c>
      <c r="B79" s="15" t="str">
        <f t="shared" si="6"/>
        <v/>
      </c>
      <c r="C79" s="15"/>
      <c r="D79" s="16" t="str">
        <f t="shared" si="5"/>
        <v/>
      </c>
      <c r="E79" s="21"/>
      <c r="F79" s="7"/>
      <c r="G79" s="19"/>
      <c r="H79" s="17"/>
      <c r="I79" s="1"/>
      <c r="N79" s="1"/>
      <c r="O79" s="1"/>
      <c r="P79" s="18"/>
      <c r="Q79" s="18"/>
      <c r="R79" s="18"/>
      <c r="S79" s="18"/>
      <c r="T79" s="18"/>
      <c r="U79" s="18"/>
      <c r="V79" s="18"/>
      <c r="W79" s="18"/>
      <c r="X79" s="18"/>
      <c r="Y79" s="18"/>
      <c r="Z79" s="18"/>
      <c r="AA79" s="18"/>
      <c r="AB79" s="18"/>
      <c r="AC79" s="18"/>
      <c r="AD79" s="18"/>
      <c r="AE79" s="15"/>
      <c r="AF79" s="15"/>
    </row>
    <row r="80" spans="1:32" x14ac:dyDescent="0.25">
      <c r="A80" t="str">
        <f t="shared" ca="1" si="4"/>
        <v>20140825-000080--190001000000@LIBRARY.NASHVILLE.ORG</v>
      </c>
      <c r="B80" s="15" t="str">
        <f t="shared" si="6"/>
        <v/>
      </c>
      <c r="C80" s="15"/>
      <c r="D80" s="16" t="str">
        <f t="shared" si="5"/>
        <v/>
      </c>
      <c r="E80" s="21"/>
      <c r="F80" s="7"/>
      <c r="G80" s="19"/>
      <c r="H80" s="17"/>
      <c r="I80" s="1"/>
      <c r="N80" s="1"/>
      <c r="O80" s="1"/>
      <c r="P80" s="18"/>
      <c r="Q80" s="18"/>
      <c r="R80" s="18"/>
      <c r="S80" s="18"/>
      <c r="T80" s="18"/>
      <c r="U80" s="18"/>
      <c r="V80" s="18"/>
      <c r="W80" s="18"/>
      <c r="X80" s="18"/>
      <c r="Y80" s="18"/>
      <c r="Z80" s="18"/>
      <c r="AA80" s="18"/>
      <c r="AB80" s="18"/>
      <c r="AC80" s="18"/>
      <c r="AD80" s="18"/>
      <c r="AE80" s="15"/>
      <c r="AF80" s="15"/>
    </row>
    <row r="81" spans="1:32" x14ac:dyDescent="0.25">
      <c r="A81" t="str">
        <f t="shared" ca="1" si="4"/>
        <v>20140825-000081--190001000000@LIBRARY.NASHVILLE.ORG</v>
      </c>
      <c r="B81" s="15" t="str">
        <f t="shared" si="6"/>
        <v/>
      </c>
      <c r="C81" s="15"/>
      <c r="D81" s="16" t="str">
        <f t="shared" si="5"/>
        <v/>
      </c>
      <c r="E81" s="21"/>
      <c r="F81" s="7"/>
      <c r="G81" s="19"/>
      <c r="H81" s="17"/>
      <c r="I81" s="1"/>
      <c r="N81" s="1"/>
      <c r="O81" s="1"/>
      <c r="P81" s="18"/>
      <c r="Q81" s="18"/>
      <c r="R81" s="18"/>
      <c r="S81" s="18"/>
      <c r="T81" s="18"/>
      <c r="U81" s="18"/>
      <c r="V81" s="18"/>
      <c r="W81" s="18"/>
      <c r="X81" s="18"/>
      <c r="Y81" s="18"/>
      <c r="Z81" s="18"/>
      <c r="AA81" s="18"/>
      <c r="AB81" s="18"/>
      <c r="AC81" s="18"/>
      <c r="AD81" s="18"/>
      <c r="AE81" s="15"/>
      <c r="AF81" s="15"/>
    </row>
    <row r="82" spans="1:32" x14ac:dyDescent="0.25">
      <c r="A82" t="str">
        <f t="shared" ca="1" si="4"/>
        <v>20140825-000082--190001000000@LIBRARY.NASHVILLE.ORG</v>
      </c>
      <c r="B82" s="15" t="str">
        <f t="shared" si="6"/>
        <v/>
      </c>
      <c r="C82" s="15"/>
      <c r="D82" s="16" t="str">
        <f t="shared" si="5"/>
        <v/>
      </c>
      <c r="E82" s="21"/>
      <c r="F82" s="7"/>
      <c r="G82" s="19"/>
      <c r="H82" s="17"/>
      <c r="I82" s="1"/>
      <c r="N82" s="1"/>
      <c r="O82" s="1"/>
      <c r="P82" s="18"/>
      <c r="Q82" s="18"/>
      <c r="R82" s="18"/>
      <c r="S82" s="18"/>
      <c r="T82" s="18"/>
      <c r="U82" s="18"/>
      <c r="V82" s="18"/>
      <c r="W82" s="18"/>
      <c r="X82" s="18"/>
      <c r="Y82" s="18"/>
      <c r="Z82" s="18"/>
      <c r="AA82" s="18"/>
      <c r="AB82" s="18"/>
      <c r="AC82" s="18"/>
      <c r="AD82" s="18"/>
      <c r="AE82" s="15"/>
      <c r="AF82" s="15"/>
    </row>
    <row r="83" spans="1:32" x14ac:dyDescent="0.25">
      <c r="A83" t="str">
        <f t="shared" ca="1" si="4"/>
        <v>20140825-000083--190001000000@LIBRARY.NASHVILLE.ORG</v>
      </c>
      <c r="B83" s="15" t="str">
        <f t="shared" si="6"/>
        <v/>
      </c>
      <c r="C83" s="15"/>
      <c r="D83" s="16" t="str">
        <f t="shared" si="5"/>
        <v/>
      </c>
      <c r="E83" s="21"/>
      <c r="F83" s="7"/>
      <c r="G83" s="19"/>
      <c r="H83" s="17"/>
      <c r="I83" s="1"/>
      <c r="N83" s="1"/>
      <c r="O83" s="1"/>
      <c r="P83" s="18"/>
      <c r="Q83" s="18"/>
      <c r="R83" s="18"/>
      <c r="S83" s="18"/>
      <c r="T83" s="18"/>
      <c r="U83" s="18"/>
      <c r="V83" s="18"/>
      <c r="W83" s="18"/>
      <c r="X83" s="18"/>
      <c r="Y83" s="18"/>
      <c r="Z83" s="18"/>
      <c r="AA83" s="18"/>
      <c r="AB83" s="18"/>
      <c r="AC83" s="18"/>
      <c r="AD83" s="18"/>
      <c r="AE83" s="15"/>
      <c r="AF83" s="15"/>
    </row>
    <row r="84" spans="1:32" x14ac:dyDescent="0.25">
      <c r="A84" t="str">
        <f t="shared" ca="1" si="4"/>
        <v>20140825-000084--190001000000@LIBRARY.NASHVILLE.ORG</v>
      </c>
      <c r="B84" s="15" t="str">
        <f t="shared" si="6"/>
        <v/>
      </c>
      <c r="C84" s="15"/>
      <c r="D84" s="16" t="str">
        <f t="shared" si="5"/>
        <v/>
      </c>
      <c r="E84" s="21"/>
      <c r="F84" s="7"/>
      <c r="G84" s="19"/>
      <c r="H84" s="17"/>
      <c r="I84" s="1"/>
      <c r="N84" s="1"/>
      <c r="O84" s="1"/>
      <c r="P84" s="18"/>
      <c r="Q84" s="18"/>
      <c r="R84" s="18"/>
      <c r="S84" s="18"/>
      <c r="T84" s="18"/>
      <c r="U84" s="18"/>
      <c r="V84" s="18"/>
      <c r="W84" s="18"/>
      <c r="X84" s="18"/>
      <c r="Y84" s="18"/>
      <c r="Z84" s="18"/>
      <c r="AA84" s="18"/>
      <c r="AB84" s="18"/>
      <c r="AC84" s="18"/>
      <c r="AD84" s="18"/>
      <c r="AE84" s="15"/>
      <c r="AF84" s="15"/>
    </row>
    <row r="85" spans="1:32" x14ac:dyDescent="0.25">
      <c r="A85" t="str">
        <f t="shared" ca="1" si="4"/>
        <v>20140825-000085--190001000000@LIBRARY.NASHVILLE.ORG</v>
      </c>
      <c r="B85" s="15" t="str">
        <f t="shared" si="6"/>
        <v/>
      </c>
      <c r="C85" s="15"/>
      <c r="D85" s="16" t="str">
        <f t="shared" si="5"/>
        <v/>
      </c>
      <c r="E85" s="21"/>
      <c r="F85" s="7"/>
      <c r="G85" s="19"/>
      <c r="H85" s="17"/>
      <c r="I85" s="1"/>
      <c r="N85" s="1"/>
      <c r="O85" s="1"/>
      <c r="P85" s="18"/>
      <c r="Q85" s="18"/>
      <c r="R85" s="18"/>
      <c r="S85" s="18"/>
      <c r="T85" s="18"/>
      <c r="U85" s="18"/>
      <c r="V85" s="18"/>
      <c r="W85" s="18"/>
      <c r="X85" s="18"/>
      <c r="Y85" s="18"/>
      <c r="Z85" s="18"/>
      <c r="AA85" s="18"/>
      <c r="AB85" s="18"/>
      <c r="AC85" s="18"/>
      <c r="AD85" s="18"/>
      <c r="AE85" s="15"/>
      <c r="AF85" s="15"/>
    </row>
    <row r="86" spans="1:32" x14ac:dyDescent="0.25">
      <c r="A86" t="str">
        <f t="shared" ca="1" si="4"/>
        <v>20140825-000086--190001000000@LIBRARY.NASHVILLE.ORG</v>
      </c>
      <c r="B86" s="15" t="str">
        <f t="shared" si="6"/>
        <v/>
      </c>
      <c r="C86" s="15"/>
      <c r="D86" s="16" t="str">
        <f t="shared" si="5"/>
        <v/>
      </c>
      <c r="E86" s="21"/>
      <c r="F86" s="7"/>
      <c r="G86" s="19"/>
      <c r="H86" s="17"/>
      <c r="I86" s="1"/>
      <c r="N86" s="1"/>
      <c r="O86" s="1"/>
      <c r="P86" s="18"/>
      <c r="Q86" s="18"/>
      <c r="R86" s="18"/>
      <c r="S86" s="18"/>
      <c r="T86" s="18"/>
      <c r="U86" s="18"/>
      <c r="V86" s="18"/>
      <c r="W86" s="18"/>
      <c r="X86" s="18"/>
      <c r="Y86" s="18"/>
      <c r="Z86" s="18"/>
      <c r="AA86" s="18"/>
      <c r="AB86" s="18"/>
      <c r="AC86" s="18"/>
      <c r="AD86" s="18"/>
      <c r="AE86" s="15"/>
      <c r="AF86" s="15"/>
    </row>
    <row r="87" spans="1:32" x14ac:dyDescent="0.25">
      <c r="A87" t="str">
        <f t="shared" ca="1" si="4"/>
        <v>20140825-000087--190001000000@LIBRARY.NASHVILLE.ORG</v>
      </c>
      <c r="B87" s="15" t="str">
        <f t="shared" si="6"/>
        <v/>
      </c>
      <c r="C87" s="15"/>
      <c r="D87" s="16" t="str">
        <f t="shared" si="5"/>
        <v/>
      </c>
      <c r="E87" s="21"/>
      <c r="F87" s="7"/>
      <c r="G87" s="19"/>
      <c r="H87" s="17"/>
      <c r="I87" s="1"/>
      <c r="N87" s="1"/>
      <c r="O87" s="1"/>
      <c r="P87" s="18"/>
      <c r="Q87" s="18"/>
      <c r="R87" s="18"/>
      <c r="S87" s="18"/>
      <c r="T87" s="18"/>
      <c r="U87" s="18"/>
      <c r="V87" s="18"/>
      <c r="W87" s="18"/>
      <c r="X87" s="18"/>
      <c r="Y87" s="18"/>
      <c r="Z87" s="18"/>
      <c r="AA87" s="18"/>
      <c r="AB87" s="18"/>
      <c r="AC87" s="18"/>
      <c r="AD87" s="18"/>
      <c r="AE87" s="15"/>
      <c r="AF87" s="15"/>
    </row>
    <row r="88" spans="1:32" x14ac:dyDescent="0.25">
      <c r="A88" t="str">
        <f t="shared" ca="1" si="4"/>
        <v>20140825-000088--190001000000@LIBRARY.NASHVILLE.ORG</v>
      </c>
      <c r="B88" s="15" t="str">
        <f t="shared" si="6"/>
        <v/>
      </c>
      <c r="C88" s="15"/>
      <c r="D88" s="16" t="str">
        <f t="shared" si="5"/>
        <v/>
      </c>
      <c r="E88" s="21"/>
      <c r="F88" s="7"/>
      <c r="G88" s="19"/>
      <c r="H88" s="17"/>
      <c r="I88" s="1"/>
      <c r="N88" s="1"/>
      <c r="O88" s="1"/>
      <c r="P88" s="18"/>
      <c r="Q88" s="18"/>
      <c r="R88" s="18"/>
      <c r="S88" s="18"/>
      <c r="T88" s="18"/>
      <c r="U88" s="18"/>
      <c r="V88" s="18"/>
      <c r="W88" s="18"/>
      <c r="X88" s="18"/>
      <c r="Y88" s="18"/>
      <c r="Z88" s="18"/>
      <c r="AA88" s="18"/>
      <c r="AB88" s="18"/>
      <c r="AC88" s="18"/>
      <c r="AD88" s="18"/>
      <c r="AE88" s="15"/>
      <c r="AF88" s="15"/>
    </row>
    <row r="89" spans="1:32" x14ac:dyDescent="0.25">
      <c r="A89" t="str">
        <f t="shared" ca="1" si="4"/>
        <v>20140825-000089--190001000000@LIBRARY.NASHVILLE.ORG</v>
      </c>
      <c r="B89" s="15" t="str">
        <f t="shared" si="6"/>
        <v/>
      </c>
      <c r="C89" s="15"/>
      <c r="D89" s="16" t="str">
        <f t="shared" si="5"/>
        <v/>
      </c>
      <c r="E89" s="21"/>
      <c r="F89" s="7"/>
      <c r="G89" s="19"/>
      <c r="H89" s="17"/>
      <c r="I89" s="1"/>
      <c r="N89" s="1"/>
      <c r="O89" s="1"/>
      <c r="P89" s="18"/>
      <c r="Q89" s="18"/>
      <c r="R89" s="18"/>
      <c r="S89" s="18"/>
      <c r="T89" s="18"/>
      <c r="U89" s="18"/>
      <c r="V89" s="18"/>
      <c r="W89" s="18"/>
      <c r="X89" s="18"/>
      <c r="Y89" s="18"/>
      <c r="Z89" s="18"/>
      <c r="AA89" s="18"/>
      <c r="AB89" s="18"/>
      <c r="AC89" s="18"/>
      <c r="AD89" s="18"/>
      <c r="AE89" s="15"/>
      <c r="AF89" s="15"/>
    </row>
    <row r="90" spans="1:32" x14ac:dyDescent="0.25">
      <c r="A90" t="str">
        <f t="shared" ca="1" si="4"/>
        <v>20140825-000090--190001000000@LIBRARY.NASHVILLE.ORG</v>
      </c>
      <c r="B90" s="15" t="str">
        <f t="shared" si="6"/>
        <v/>
      </c>
      <c r="C90" s="15"/>
      <c r="D90" s="16" t="str">
        <f t="shared" si="5"/>
        <v/>
      </c>
      <c r="E90" s="21"/>
      <c r="F90" s="7"/>
      <c r="G90" s="19"/>
      <c r="H90" s="17"/>
      <c r="I90" s="1"/>
      <c r="N90" s="1"/>
      <c r="O90" s="1"/>
      <c r="P90" s="18"/>
      <c r="Q90" s="18"/>
      <c r="R90" s="18"/>
      <c r="S90" s="18"/>
      <c r="T90" s="18"/>
      <c r="U90" s="18"/>
      <c r="V90" s="18"/>
      <c r="W90" s="18"/>
      <c r="X90" s="18"/>
      <c r="Y90" s="18"/>
      <c r="Z90" s="18"/>
      <c r="AA90" s="18"/>
      <c r="AB90" s="18"/>
      <c r="AC90" s="18"/>
      <c r="AD90" s="18"/>
      <c r="AE90" s="15"/>
      <c r="AF90" s="15"/>
    </row>
    <row r="91" spans="1:32" x14ac:dyDescent="0.25">
      <c r="A91" t="str">
        <f t="shared" ca="1" si="4"/>
        <v>20140825-000091--190001000000@LIBRARY.NASHVILLE.ORG</v>
      </c>
      <c r="B91" s="15" t="str">
        <f t="shared" si="6"/>
        <v/>
      </c>
      <c r="C91" s="15"/>
      <c r="D91" s="16" t="str">
        <f t="shared" si="5"/>
        <v/>
      </c>
      <c r="E91" s="21"/>
      <c r="F91" s="7"/>
      <c r="G91" s="19"/>
      <c r="H91" s="17"/>
      <c r="I91" s="1"/>
      <c r="N91" s="1"/>
      <c r="O91" s="1"/>
      <c r="P91" s="18"/>
      <c r="Q91" s="18"/>
      <c r="R91" s="18"/>
      <c r="S91" s="18"/>
      <c r="T91" s="18"/>
      <c r="U91" s="18"/>
      <c r="V91" s="18"/>
      <c r="W91" s="18"/>
      <c r="X91" s="18"/>
      <c r="Y91" s="18"/>
      <c r="Z91" s="18"/>
      <c r="AA91" s="18"/>
      <c r="AB91" s="18"/>
      <c r="AC91" s="18"/>
      <c r="AD91" s="18"/>
      <c r="AE91" s="15"/>
      <c r="AF91" s="15"/>
    </row>
    <row r="92" spans="1:32" x14ac:dyDescent="0.25">
      <c r="A92" t="str">
        <f t="shared" ca="1" si="4"/>
        <v>20140825-000092--190001000000@LIBRARY.NASHVILLE.ORG</v>
      </c>
      <c r="B92" s="15" t="str">
        <f t="shared" si="6"/>
        <v/>
      </c>
      <c r="C92" s="15"/>
      <c r="D92" s="16" t="str">
        <f t="shared" si="5"/>
        <v/>
      </c>
      <c r="E92" s="21"/>
      <c r="F92" s="7"/>
      <c r="G92" s="19"/>
      <c r="H92" s="17"/>
      <c r="I92" s="1"/>
      <c r="N92" s="1"/>
      <c r="O92" s="1"/>
      <c r="P92" s="18"/>
      <c r="Q92" s="18"/>
      <c r="R92" s="18"/>
      <c r="S92" s="18"/>
      <c r="T92" s="18"/>
      <c r="U92" s="18"/>
      <c r="V92" s="18"/>
      <c r="W92" s="18"/>
      <c r="X92" s="18"/>
      <c r="Y92" s="18"/>
      <c r="Z92" s="18"/>
      <c r="AA92" s="18"/>
      <c r="AB92" s="18"/>
      <c r="AC92" s="18"/>
      <c r="AD92" s="18"/>
      <c r="AE92" s="15"/>
      <c r="AF92" s="15"/>
    </row>
    <row r="93" spans="1:32" x14ac:dyDescent="0.25">
      <c r="A93" t="str">
        <f t="shared" ca="1" si="4"/>
        <v>20140825-000093--190001000000@LIBRARY.NASHVILLE.ORG</v>
      </c>
      <c r="B93" s="15" t="str">
        <f t="shared" si="6"/>
        <v/>
      </c>
      <c r="C93" s="15"/>
      <c r="D93" s="16" t="str">
        <f t="shared" si="5"/>
        <v/>
      </c>
      <c r="E93" s="21"/>
      <c r="F93" s="7"/>
      <c r="G93" s="19"/>
      <c r="H93" s="17"/>
      <c r="I93" s="1"/>
      <c r="N93" s="1"/>
      <c r="O93" s="1"/>
      <c r="P93" s="18"/>
      <c r="Q93" s="18"/>
      <c r="R93" s="18"/>
      <c r="S93" s="18"/>
      <c r="T93" s="18"/>
      <c r="U93" s="18"/>
      <c r="V93" s="18"/>
      <c r="W93" s="18"/>
      <c r="X93" s="18"/>
      <c r="Y93" s="18"/>
      <c r="Z93" s="18"/>
      <c r="AA93" s="18"/>
      <c r="AB93" s="18"/>
      <c r="AC93" s="18"/>
      <c r="AD93" s="18"/>
      <c r="AE93" s="15"/>
      <c r="AF93" s="15"/>
    </row>
    <row r="94" spans="1:32" x14ac:dyDescent="0.25">
      <c r="A94" t="str">
        <f t="shared" ca="1" si="4"/>
        <v>20140825-000094--190001000000@LIBRARY.NASHVILLE.ORG</v>
      </c>
      <c r="B94" s="15" t="str">
        <f t="shared" si="6"/>
        <v/>
      </c>
      <c r="C94" s="15"/>
      <c r="D94" s="16" t="str">
        <f t="shared" si="5"/>
        <v/>
      </c>
      <c r="E94" s="21"/>
      <c r="F94" s="7"/>
      <c r="G94" s="19"/>
      <c r="H94" s="17"/>
      <c r="I94" s="1"/>
      <c r="N94" s="1"/>
      <c r="O94" s="1"/>
      <c r="P94" s="18"/>
      <c r="Q94" s="18"/>
      <c r="R94" s="18"/>
      <c r="S94" s="18"/>
      <c r="T94" s="18"/>
      <c r="U94" s="18"/>
      <c r="V94" s="18"/>
      <c r="W94" s="18"/>
      <c r="X94" s="18"/>
      <c r="Y94" s="18"/>
      <c r="Z94" s="18"/>
      <c r="AA94" s="18"/>
      <c r="AB94" s="18"/>
      <c r="AC94" s="18"/>
      <c r="AD94" s="18"/>
      <c r="AE94" s="15"/>
      <c r="AF94" s="15"/>
    </row>
    <row r="95" spans="1:32" x14ac:dyDescent="0.25">
      <c r="A95" t="str">
        <f t="shared" ca="1" si="4"/>
        <v>20140825-000095--190001000000@LIBRARY.NASHVILLE.ORG</v>
      </c>
      <c r="B95" s="15" t="str">
        <f t="shared" si="6"/>
        <v/>
      </c>
      <c r="C95" s="15"/>
      <c r="D95" s="16" t="str">
        <f t="shared" si="5"/>
        <v/>
      </c>
      <c r="E95" s="21"/>
      <c r="F95" s="7"/>
      <c r="G95" s="19"/>
      <c r="H95" s="17"/>
      <c r="I95" s="1"/>
      <c r="N95" s="1"/>
      <c r="O95" s="1"/>
      <c r="P95" s="18"/>
      <c r="Q95" s="18"/>
      <c r="R95" s="18"/>
      <c r="S95" s="18"/>
      <c r="T95" s="18"/>
      <c r="U95" s="18"/>
      <c r="V95" s="18"/>
      <c r="W95" s="18"/>
      <c r="X95" s="18"/>
      <c r="Y95" s="18"/>
      <c r="Z95" s="18"/>
      <c r="AA95" s="18"/>
      <c r="AB95" s="18"/>
      <c r="AC95" s="18"/>
      <c r="AD95" s="18"/>
      <c r="AE95" s="15"/>
      <c r="AF95" s="15"/>
    </row>
    <row r="96" spans="1:32" x14ac:dyDescent="0.25">
      <c r="A96" t="str">
        <f t="shared" ca="1" si="4"/>
        <v>20140825-000096--190001000000@LIBRARY.NASHVILLE.ORG</v>
      </c>
      <c r="B96" s="15" t="str">
        <f t="shared" si="6"/>
        <v/>
      </c>
      <c r="C96" s="15"/>
      <c r="D96" s="16" t="str">
        <f t="shared" si="5"/>
        <v/>
      </c>
      <c r="E96" s="21"/>
      <c r="F96" s="7"/>
      <c r="G96" s="19"/>
      <c r="H96" s="17"/>
      <c r="I96" s="1"/>
      <c r="N96" s="1"/>
      <c r="O96" s="1"/>
      <c r="P96" s="18"/>
      <c r="Q96" s="18"/>
      <c r="R96" s="18"/>
      <c r="S96" s="18"/>
      <c r="T96" s="18"/>
      <c r="U96" s="18"/>
      <c r="V96" s="18"/>
      <c r="W96" s="18"/>
      <c r="X96" s="18"/>
      <c r="Y96" s="18"/>
      <c r="Z96" s="18"/>
      <c r="AA96" s="18"/>
      <c r="AB96" s="18"/>
      <c r="AC96" s="18"/>
      <c r="AD96" s="18"/>
      <c r="AE96" s="15"/>
      <c r="AF96" s="15"/>
    </row>
    <row r="97" spans="1:32" x14ac:dyDescent="0.25">
      <c r="A97" t="str">
        <f t="shared" ca="1" si="4"/>
        <v>20140825-000097--190001000000@LIBRARY.NASHVILLE.ORG</v>
      </c>
      <c r="B97" s="15" t="str">
        <f t="shared" si="6"/>
        <v/>
      </c>
      <c r="C97" s="15"/>
      <c r="D97" s="16" t="str">
        <f t="shared" si="5"/>
        <v/>
      </c>
      <c r="E97" s="21"/>
      <c r="F97" s="7"/>
      <c r="G97" s="19"/>
      <c r="H97" s="17"/>
      <c r="I97" s="1"/>
      <c r="N97" s="1"/>
      <c r="O97" s="1"/>
      <c r="P97" s="18"/>
      <c r="Q97" s="18"/>
      <c r="R97" s="18"/>
      <c r="S97" s="18"/>
      <c r="T97" s="18"/>
      <c r="U97" s="18"/>
      <c r="V97" s="18"/>
      <c r="W97" s="18"/>
      <c r="X97" s="18"/>
      <c r="Y97" s="18"/>
      <c r="Z97" s="18"/>
      <c r="AA97" s="18"/>
      <c r="AB97" s="18"/>
      <c r="AC97" s="18"/>
      <c r="AD97" s="18"/>
      <c r="AE97" s="15"/>
      <c r="AF97" s="15"/>
    </row>
    <row r="98" spans="1:32" x14ac:dyDescent="0.25">
      <c r="A98" t="str">
        <f t="shared" ca="1" si="4"/>
        <v>20140825-000098--190001000000@LIBRARY.NASHVILLE.ORG</v>
      </c>
      <c r="B98" s="15" t="str">
        <f t="shared" si="6"/>
        <v/>
      </c>
      <c r="C98" s="15"/>
      <c r="D98" s="16" t="str">
        <f t="shared" si="5"/>
        <v/>
      </c>
      <c r="E98" s="21"/>
      <c r="F98" s="7"/>
      <c r="G98" s="19"/>
      <c r="H98" s="17"/>
      <c r="I98" s="1"/>
      <c r="N98" s="1"/>
      <c r="O98" s="1"/>
      <c r="P98" s="18"/>
      <c r="Q98" s="18"/>
      <c r="R98" s="18"/>
      <c r="S98" s="18"/>
      <c r="T98" s="18"/>
      <c r="U98" s="18"/>
      <c r="V98" s="18"/>
      <c r="W98" s="18"/>
      <c r="X98" s="18"/>
      <c r="Y98" s="18"/>
      <c r="Z98" s="18"/>
      <c r="AA98" s="18"/>
      <c r="AB98" s="18"/>
      <c r="AC98" s="18"/>
      <c r="AD98" s="18"/>
      <c r="AE98" s="15"/>
      <c r="AF98" s="15"/>
    </row>
    <row r="99" spans="1:32" x14ac:dyDescent="0.25">
      <c r="A99" t="str">
        <f t="shared" ca="1" si="4"/>
        <v>20140825-000099--190001000000@LIBRARY.NASHVILLE.ORG</v>
      </c>
      <c r="B99" s="15" t="str">
        <f t="shared" si="6"/>
        <v/>
      </c>
      <c r="C99" s="15"/>
      <c r="D99" s="16" t="str">
        <f t="shared" si="5"/>
        <v/>
      </c>
      <c r="E99" s="21"/>
      <c r="F99" s="7"/>
      <c r="G99" s="19"/>
      <c r="H99" s="17"/>
      <c r="I99" s="1"/>
      <c r="N99" s="1"/>
      <c r="O99" s="1"/>
      <c r="P99" s="18"/>
      <c r="Q99" s="18"/>
      <c r="R99" s="18"/>
      <c r="S99" s="18"/>
      <c r="T99" s="18"/>
      <c r="U99" s="18"/>
      <c r="V99" s="18"/>
      <c r="W99" s="18"/>
      <c r="X99" s="18"/>
      <c r="Y99" s="18"/>
      <c r="Z99" s="18"/>
      <c r="AA99" s="18"/>
      <c r="AB99" s="18"/>
      <c r="AC99" s="18"/>
      <c r="AD99" s="18"/>
      <c r="AE99" s="15"/>
      <c r="AF99" s="15"/>
    </row>
    <row r="100" spans="1:32" x14ac:dyDescent="0.25">
      <c r="A100" t="str">
        <f t="shared" ca="1" si="4"/>
        <v>20140825-000100--190001000000@LIBRARY.NASHVILLE.ORG</v>
      </c>
      <c r="B100" s="15" t="str">
        <f t="shared" si="6"/>
        <v/>
      </c>
      <c r="C100" s="15"/>
      <c r="D100" s="16" t="str">
        <f t="shared" si="5"/>
        <v/>
      </c>
      <c r="E100" s="21"/>
      <c r="F100" s="7"/>
      <c r="G100" s="19"/>
      <c r="H100" s="17"/>
      <c r="I100" s="1"/>
      <c r="N100" s="1"/>
      <c r="O100" s="1"/>
      <c r="P100" s="18"/>
      <c r="Q100" s="18"/>
      <c r="R100" s="18"/>
      <c r="S100" s="18"/>
      <c r="T100" s="18"/>
      <c r="U100" s="18"/>
      <c r="V100" s="18"/>
      <c r="W100" s="18"/>
      <c r="X100" s="18"/>
      <c r="Y100" s="18"/>
      <c r="Z100" s="18"/>
      <c r="AA100" s="18"/>
      <c r="AB100" s="18"/>
      <c r="AC100" s="18"/>
      <c r="AD100" s="18"/>
      <c r="AE100" s="15"/>
      <c r="AF100" s="15"/>
    </row>
    <row r="101" spans="1:32" x14ac:dyDescent="0.25">
      <c r="A101" t="str">
        <f t="shared" ca="1" si="4"/>
        <v>20140825-000101--190001000000@LIBRARY.NASHVILLE.ORG</v>
      </c>
      <c r="B101" s="15" t="str">
        <f t="shared" si="6"/>
        <v/>
      </c>
      <c r="C101" s="15"/>
      <c r="D101" s="16" t="str">
        <f t="shared" si="5"/>
        <v/>
      </c>
      <c r="E101" s="21"/>
      <c r="F101" s="7"/>
      <c r="G101" s="19"/>
      <c r="H101" s="17"/>
      <c r="I101" s="1"/>
      <c r="N101" s="1"/>
      <c r="O101" s="1"/>
      <c r="P101" s="18"/>
      <c r="Q101" s="18"/>
      <c r="R101" s="18"/>
      <c r="S101" s="18"/>
      <c r="T101" s="18"/>
      <c r="U101" s="18"/>
      <c r="V101" s="18"/>
      <c r="W101" s="18"/>
      <c r="X101" s="18"/>
      <c r="Y101" s="18"/>
      <c r="Z101" s="18"/>
      <c r="AA101" s="18"/>
      <c r="AB101" s="18"/>
      <c r="AC101" s="18"/>
      <c r="AD101" s="18"/>
      <c r="AE101" s="15"/>
      <c r="AF101" s="15"/>
    </row>
    <row r="102" spans="1:32" x14ac:dyDescent="0.25">
      <c r="A102" t="str">
        <f t="shared" ca="1" si="4"/>
        <v>20140825-000102--190001000000@LIBRARY.NASHVILLE.ORG</v>
      </c>
      <c r="B102" s="15" t="str">
        <f t="shared" si="6"/>
        <v/>
      </c>
      <c r="C102" s="15"/>
      <c r="D102" s="16" t="str">
        <f t="shared" si="5"/>
        <v/>
      </c>
      <c r="E102" s="21"/>
      <c r="F102" s="7"/>
      <c r="G102" s="19"/>
      <c r="H102" s="17"/>
      <c r="I102" s="1"/>
      <c r="N102" s="1"/>
      <c r="O102" s="1"/>
      <c r="P102" s="18"/>
      <c r="Q102" s="18"/>
      <c r="R102" s="18"/>
      <c r="S102" s="18"/>
      <c r="T102" s="18"/>
      <c r="U102" s="18"/>
      <c r="V102" s="18"/>
      <c r="W102" s="18"/>
      <c r="X102" s="18"/>
      <c r="Y102" s="18"/>
      <c r="Z102" s="18"/>
      <c r="AA102" s="18"/>
      <c r="AB102" s="18"/>
      <c r="AC102" s="18"/>
      <c r="AD102" s="18"/>
      <c r="AE102" s="15"/>
      <c r="AF102" s="15"/>
    </row>
    <row r="103" spans="1:32" x14ac:dyDescent="0.25">
      <c r="A103" t="str">
        <f t="shared" ca="1" si="4"/>
        <v>20140825-000103--190001000000@LIBRARY.NASHVILLE.ORG</v>
      </c>
      <c r="B103" s="15" t="str">
        <f t="shared" si="6"/>
        <v/>
      </c>
      <c r="C103" s="15"/>
      <c r="D103" s="16" t="str">
        <f t="shared" si="5"/>
        <v/>
      </c>
      <c r="E103" s="21"/>
      <c r="F103" s="7"/>
      <c r="G103" s="19"/>
      <c r="H103" s="17"/>
      <c r="I103" s="1"/>
      <c r="N103" s="1"/>
      <c r="O103" s="1"/>
      <c r="P103" s="18"/>
      <c r="Q103" s="18"/>
      <c r="R103" s="18"/>
      <c r="S103" s="18"/>
      <c r="T103" s="18"/>
      <c r="U103" s="18"/>
      <c r="V103" s="18"/>
      <c r="W103" s="18"/>
      <c r="X103" s="18"/>
      <c r="Y103" s="18"/>
      <c r="Z103" s="18"/>
      <c r="AA103" s="18"/>
      <c r="AB103" s="18"/>
      <c r="AC103" s="18"/>
      <c r="AD103" s="18"/>
      <c r="AE103" s="15"/>
      <c r="AF103" s="15"/>
    </row>
    <row r="104" spans="1:32" x14ac:dyDescent="0.25">
      <c r="A104" t="str">
        <f t="shared" ca="1" si="4"/>
        <v>20140825-000104--190001000000@LIBRARY.NASHVILLE.ORG</v>
      </c>
      <c r="B104" s="15" t="str">
        <f t="shared" si="6"/>
        <v/>
      </c>
      <c r="C104" s="15"/>
      <c r="D104" s="16" t="str">
        <f t="shared" si="5"/>
        <v/>
      </c>
      <c r="E104" s="21"/>
      <c r="F104" s="7"/>
      <c r="G104" s="19"/>
      <c r="H104" s="17"/>
      <c r="I104" s="1"/>
      <c r="N104" s="1"/>
      <c r="O104" s="1"/>
      <c r="P104" s="18"/>
      <c r="Q104" s="18"/>
      <c r="R104" s="18"/>
      <c r="S104" s="18"/>
      <c r="T104" s="18"/>
      <c r="U104" s="18"/>
      <c r="V104" s="18"/>
      <c r="W104" s="18"/>
      <c r="X104" s="18"/>
      <c r="Y104" s="18"/>
      <c r="Z104" s="18"/>
      <c r="AA104" s="18"/>
      <c r="AB104" s="18"/>
      <c r="AC104" s="18"/>
      <c r="AD104" s="18"/>
      <c r="AE104" s="15"/>
      <c r="AF104" s="15"/>
    </row>
    <row r="105" spans="1:32" x14ac:dyDescent="0.25">
      <c r="A105" t="str">
        <f t="shared" ca="1" si="4"/>
        <v>20140825-000105--190001000000@LIBRARY.NASHVILLE.ORG</v>
      </c>
      <c r="B105" s="15" t="str">
        <f t="shared" si="6"/>
        <v/>
      </c>
      <c r="C105" s="15"/>
      <c r="D105" s="16" t="str">
        <f t="shared" si="5"/>
        <v/>
      </c>
      <c r="E105" s="21"/>
      <c r="F105" s="7"/>
      <c r="G105" s="19"/>
      <c r="H105" s="17"/>
      <c r="I105" s="1"/>
      <c r="N105" s="1"/>
      <c r="O105" s="1"/>
      <c r="P105" s="18"/>
      <c r="Q105" s="18"/>
      <c r="R105" s="18"/>
      <c r="S105" s="18"/>
      <c r="T105" s="18"/>
      <c r="U105" s="18"/>
      <c r="V105" s="18"/>
      <c r="W105" s="18"/>
      <c r="X105" s="18"/>
      <c r="Y105" s="18"/>
      <c r="Z105" s="18"/>
      <c r="AA105" s="18"/>
      <c r="AB105" s="18"/>
      <c r="AC105" s="18"/>
      <c r="AD105" s="18"/>
      <c r="AE105" s="15"/>
      <c r="AF105" s="15"/>
    </row>
    <row r="106" spans="1:32" x14ac:dyDescent="0.25">
      <c r="A106" t="str">
        <f t="shared" ca="1" si="4"/>
        <v>20140825-000106--190001000000@LIBRARY.NASHVILLE.ORG</v>
      </c>
      <c r="B106" s="15" t="str">
        <f t="shared" si="6"/>
        <v/>
      </c>
      <c r="C106" s="15"/>
      <c r="D106" s="16" t="str">
        <f t="shared" si="5"/>
        <v/>
      </c>
      <c r="E106" s="21"/>
      <c r="F106" s="7"/>
      <c r="G106" s="19"/>
      <c r="H106" s="17"/>
      <c r="I106" s="1"/>
      <c r="N106" s="1"/>
      <c r="O106" s="1"/>
      <c r="P106" s="18"/>
      <c r="Q106" s="18"/>
      <c r="R106" s="18"/>
      <c r="S106" s="18"/>
      <c r="T106" s="18"/>
      <c r="U106" s="18"/>
      <c r="V106" s="18"/>
      <c r="W106" s="18"/>
      <c r="X106" s="18"/>
      <c r="Y106" s="18"/>
      <c r="Z106" s="18"/>
      <c r="AA106" s="18"/>
      <c r="AB106" s="18"/>
      <c r="AC106" s="18"/>
      <c r="AD106" s="18"/>
      <c r="AE106" s="15"/>
      <c r="AF106" s="15"/>
    </row>
    <row r="107" spans="1:32" x14ac:dyDescent="0.25">
      <c r="A107" t="str">
        <f t="shared" ca="1" si="4"/>
        <v>20140825-000107--190001000000@LIBRARY.NASHVILLE.ORG</v>
      </c>
      <c r="B107" s="15" t="str">
        <f t="shared" si="6"/>
        <v/>
      </c>
      <c r="C107" s="15"/>
      <c r="D107" s="16" t="str">
        <f t="shared" si="5"/>
        <v/>
      </c>
      <c r="E107" s="21"/>
      <c r="F107" s="7"/>
      <c r="G107" s="19"/>
      <c r="H107" s="17"/>
      <c r="I107" s="1"/>
      <c r="N107" s="1"/>
      <c r="O107" s="1"/>
      <c r="P107" s="18"/>
      <c r="Q107" s="18"/>
      <c r="R107" s="18"/>
      <c r="S107" s="18"/>
      <c r="T107" s="18"/>
      <c r="U107" s="18"/>
      <c r="V107" s="18"/>
      <c r="W107" s="18"/>
      <c r="X107" s="18"/>
      <c r="Y107" s="18"/>
      <c r="Z107" s="18"/>
      <c r="AA107" s="18"/>
      <c r="AB107" s="18"/>
      <c r="AC107" s="18"/>
      <c r="AD107" s="18"/>
      <c r="AE107" s="15"/>
      <c r="AF107" s="15"/>
    </row>
    <row r="108" spans="1:32" x14ac:dyDescent="0.25">
      <c r="A108" t="str">
        <f t="shared" ca="1" si="4"/>
        <v>20140825-000108--190001000000@LIBRARY.NASHVILLE.ORG</v>
      </c>
      <c r="B108" s="15" t="str">
        <f t="shared" si="6"/>
        <v/>
      </c>
      <c r="C108" s="15"/>
      <c r="D108" s="16" t="str">
        <f t="shared" si="5"/>
        <v/>
      </c>
      <c r="E108" s="21"/>
      <c r="F108" s="7"/>
      <c r="G108" s="19"/>
      <c r="H108" s="17"/>
      <c r="I108" s="1"/>
      <c r="N108" s="1"/>
      <c r="O108" s="1"/>
      <c r="P108" s="18"/>
      <c r="Q108" s="18"/>
      <c r="R108" s="18"/>
      <c r="S108" s="18"/>
      <c r="T108" s="18"/>
      <c r="U108" s="18"/>
      <c r="V108" s="18"/>
      <c r="W108" s="18"/>
      <c r="X108" s="18"/>
      <c r="Y108" s="18"/>
      <c r="Z108" s="18"/>
      <c r="AA108" s="18"/>
      <c r="AB108" s="18"/>
      <c r="AC108" s="18"/>
      <c r="AD108" s="18"/>
      <c r="AE108" s="15"/>
      <c r="AF108" s="15"/>
    </row>
    <row r="109" spans="1:32" x14ac:dyDescent="0.25">
      <c r="A109" t="str">
        <f t="shared" ca="1" si="4"/>
        <v>20140825-000109--190001000000@LIBRARY.NASHVILLE.ORG</v>
      </c>
      <c r="B109" s="15" t="str">
        <f t="shared" si="6"/>
        <v/>
      </c>
      <c r="C109" s="15"/>
      <c r="D109" s="16" t="str">
        <f t="shared" si="5"/>
        <v/>
      </c>
      <c r="E109" s="21"/>
      <c r="F109" s="7"/>
      <c r="G109" s="19"/>
      <c r="H109" s="17"/>
      <c r="I109" s="1"/>
      <c r="N109" s="1"/>
      <c r="O109" s="1"/>
      <c r="P109" s="18"/>
      <c r="Q109" s="18"/>
      <c r="R109" s="18"/>
      <c r="S109" s="18"/>
      <c r="T109" s="18"/>
      <c r="U109" s="18"/>
      <c r="V109" s="18"/>
      <c r="W109" s="18"/>
      <c r="X109" s="18"/>
      <c r="Y109" s="18"/>
      <c r="Z109" s="18"/>
      <c r="AA109" s="18"/>
      <c r="AB109" s="18"/>
      <c r="AC109" s="18"/>
      <c r="AD109" s="18"/>
      <c r="AE109" s="15"/>
      <c r="AF109" s="15"/>
    </row>
    <row r="110" spans="1:32" x14ac:dyDescent="0.25">
      <c r="A110" t="str">
        <f t="shared" ca="1" si="4"/>
        <v>20140825-000110--190001000000@LIBRARY.NASHVILLE.ORG</v>
      </c>
      <c r="B110" s="15" t="str">
        <f t="shared" si="6"/>
        <v/>
      </c>
      <c r="C110" s="15"/>
      <c r="D110" s="16" t="str">
        <f t="shared" si="5"/>
        <v/>
      </c>
      <c r="E110" s="21"/>
      <c r="F110" s="7"/>
      <c r="G110" s="19"/>
      <c r="H110" s="17"/>
      <c r="I110" s="1"/>
      <c r="N110" s="1"/>
      <c r="O110" s="1"/>
      <c r="P110" s="18"/>
      <c r="Q110" s="18"/>
      <c r="R110" s="18"/>
      <c r="S110" s="18"/>
      <c r="T110" s="18"/>
      <c r="U110" s="18"/>
      <c r="V110" s="18"/>
      <c r="W110" s="18"/>
      <c r="X110" s="18"/>
      <c r="Y110" s="18"/>
      <c r="Z110" s="18"/>
      <c r="AA110" s="18"/>
      <c r="AB110" s="18"/>
      <c r="AC110" s="18"/>
      <c r="AD110" s="18"/>
      <c r="AE110" s="15"/>
      <c r="AF110" s="15"/>
    </row>
    <row r="111" spans="1:32" x14ac:dyDescent="0.25">
      <c r="A111" t="str">
        <f t="shared" ca="1" si="4"/>
        <v>20140825-000111--190001000000@LIBRARY.NASHVILLE.ORG</v>
      </c>
      <c r="B111" s="15" t="str">
        <f t="shared" si="6"/>
        <v/>
      </c>
      <c r="C111" s="15"/>
      <c r="D111" s="16" t="str">
        <f t="shared" si="5"/>
        <v/>
      </c>
      <c r="E111" s="21"/>
      <c r="F111" s="7"/>
      <c r="G111" s="19"/>
      <c r="H111" s="17"/>
      <c r="I111" s="1"/>
      <c r="N111" s="1"/>
      <c r="O111" s="1"/>
      <c r="P111" s="18"/>
      <c r="Q111" s="18"/>
      <c r="R111" s="18"/>
      <c r="S111" s="18"/>
      <c r="T111" s="18"/>
      <c r="U111" s="18"/>
      <c r="V111" s="18"/>
      <c r="W111" s="18"/>
      <c r="X111" s="18"/>
      <c r="Y111" s="18"/>
      <c r="Z111" s="18"/>
      <c r="AA111" s="18"/>
      <c r="AB111" s="18"/>
      <c r="AC111" s="18"/>
      <c r="AD111" s="18"/>
      <c r="AE111" s="15"/>
      <c r="AF111" s="15"/>
    </row>
    <row r="112" spans="1:32" x14ac:dyDescent="0.25">
      <c r="A112" t="str">
        <f t="shared" ca="1" si="4"/>
        <v>20140825-000112--190001000000@LIBRARY.NASHVILLE.ORG</v>
      </c>
      <c r="B112" s="15" t="str">
        <f t="shared" si="6"/>
        <v/>
      </c>
      <c r="C112" s="15"/>
      <c r="D112" s="16" t="str">
        <f t="shared" si="5"/>
        <v/>
      </c>
      <c r="E112" s="21"/>
      <c r="F112" s="7"/>
      <c r="G112" s="19"/>
      <c r="H112" s="17"/>
      <c r="I112" s="1"/>
      <c r="N112" s="1"/>
      <c r="O112" s="1"/>
      <c r="P112" s="18"/>
      <c r="Q112" s="18"/>
      <c r="R112" s="18"/>
      <c r="S112" s="18"/>
      <c r="T112" s="18"/>
      <c r="U112" s="18"/>
      <c r="V112" s="18"/>
      <c r="W112" s="18"/>
      <c r="X112" s="18"/>
      <c r="Y112" s="18"/>
      <c r="Z112" s="18"/>
      <c r="AA112" s="18"/>
      <c r="AB112" s="18"/>
      <c r="AC112" s="18"/>
      <c r="AD112" s="18"/>
      <c r="AE112" s="15"/>
      <c r="AF112" s="15"/>
    </row>
    <row r="113" spans="1:32" x14ac:dyDescent="0.25">
      <c r="A113" t="str">
        <f t="shared" ca="1" si="4"/>
        <v>20140825-000113--190001000000@LIBRARY.NASHVILLE.ORG</v>
      </c>
      <c r="B113" s="15" t="str">
        <f t="shared" si="6"/>
        <v/>
      </c>
      <c r="C113" s="15"/>
      <c r="D113" s="16" t="str">
        <f t="shared" si="5"/>
        <v/>
      </c>
      <c r="E113" s="21"/>
      <c r="F113" s="7"/>
      <c r="G113" s="19"/>
      <c r="H113" s="17"/>
      <c r="I113" s="1"/>
      <c r="N113" s="1"/>
      <c r="O113" s="1"/>
      <c r="P113" s="18"/>
      <c r="Q113" s="18"/>
      <c r="R113" s="18"/>
      <c r="S113" s="18"/>
      <c r="T113" s="18"/>
      <c r="U113" s="18"/>
      <c r="V113" s="18"/>
      <c r="W113" s="18"/>
      <c r="X113" s="18"/>
      <c r="Y113" s="18"/>
      <c r="Z113" s="18"/>
      <c r="AA113" s="18"/>
      <c r="AB113" s="18"/>
      <c r="AC113" s="18"/>
      <c r="AD113" s="18"/>
      <c r="AE113" s="15"/>
      <c r="AF113" s="15"/>
    </row>
    <row r="114" spans="1:32" x14ac:dyDescent="0.25">
      <c r="A114" t="str">
        <f t="shared" ca="1" si="4"/>
        <v>20140825-000114--190001000000@LIBRARY.NASHVILLE.ORG</v>
      </c>
      <c r="B114" s="15" t="str">
        <f t="shared" si="6"/>
        <v/>
      </c>
      <c r="C114" s="15"/>
      <c r="D114" s="16" t="str">
        <f t="shared" si="5"/>
        <v/>
      </c>
      <c r="E114" s="21"/>
      <c r="F114" s="7"/>
      <c r="G114" s="19"/>
      <c r="H114" s="17"/>
      <c r="I114" s="1"/>
      <c r="N114" s="1"/>
      <c r="O114" s="1"/>
      <c r="P114" s="18"/>
      <c r="Q114" s="18"/>
      <c r="R114" s="18"/>
      <c r="S114" s="18"/>
      <c r="T114" s="18"/>
      <c r="U114" s="18"/>
      <c r="V114" s="18"/>
      <c r="W114" s="18"/>
      <c r="X114" s="18"/>
      <c r="Y114" s="18"/>
      <c r="Z114" s="18"/>
      <c r="AA114" s="18"/>
      <c r="AB114" s="18"/>
      <c r="AC114" s="18"/>
      <c r="AD114" s="18"/>
      <c r="AE114" s="15"/>
      <c r="AF114" s="15"/>
    </row>
    <row r="115" spans="1:32" x14ac:dyDescent="0.25">
      <c r="A115" t="str">
        <f t="shared" ca="1" si="4"/>
        <v>20140825-000115--190001000000@LIBRARY.NASHVILLE.ORG</v>
      </c>
      <c r="B115" s="15" t="str">
        <f t="shared" si="6"/>
        <v/>
      </c>
      <c r="C115" s="15"/>
      <c r="D115" s="16" t="str">
        <f t="shared" si="5"/>
        <v/>
      </c>
      <c r="E115" s="21"/>
      <c r="F115" s="7"/>
      <c r="G115" s="19"/>
      <c r="H115" s="17"/>
      <c r="I115" s="1"/>
      <c r="N115" s="1"/>
      <c r="O115" s="1"/>
      <c r="P115" s="18"/>
      <c r="Q115" s="18"/>
      <c r="R115" s="18"/>
      <c r="S115" s="18"/>
      <c r="T115" s="18"/>
      <c r="U115" s="18"/>
      <c r="V115" s="18"/>
      <c r="W115" s="18"/>
      <c r="X115" s="18"/>
      <c r="Y115" s="18"/>
      <c r="Z115" s="18"/>
      <c r="AA115" s="18"/>
      <c r="AB115" s="18"/>
      <c r="AC115" s="18"/>
      <c r="AD115" s="18"/>
      <c r="AE115" s="15"/>
      <c r="AF115" s="15"/>
    </row>
    <row r="116" spans="1:32" x14ac:dyDescent="0.25">
      <c r="A116" t="str">
        <f t="shared" ca="1" si="4"/>
        <v>20140825-000116--190001000000@LIBRARY.NASHVILLE.ORG</v>
      </c>
      <c r="B116" s="15" t="str">
        <f t="shared" si="6"/>
        <v/>
      </c>
      <c r="C116" s="15"/>
      <c r="D116" s="16" t="str">
        <f t="shared" si="5"/>
        <v/>
      </c>
      <c r="E116" s="21"/>
      <c r="F116" s="7"/>
      <c r="G116" s="19"/>
      <c r="H116" s="17"/>
      <c r="I116" s="1"/>
      <c r="N116" s="1"/>
      <c r="O116" s="1"/>
      <c r="P116" s="18"/>
      <c r="Q116" s="18"/>
      <c r="R116" s="18"/>
      <c r="S116" s="18"/>
      <c r="T116" s="18"/>
      <c r="U116" s="18"/>
      <c r="V116" s="18"/>
      <c r="W116" s="18"/>
      <c r="X116" s="18"/>
      <c r="Y116" s="18"/>
      <c r="Z116" s="18"/>
      <c r="AA116" s="18"/>
      <c r="AB116" s="18"/>
      <c r="AC116" s="18"/>
      <c r="AD116" s="18"/>
      <c r="AE116" s="15"/>
      <c r="AF116" s="15"/>
    </row>
    <row r="117" spans="1:32" x14ac:dyDescent="0.25">
      <c r="A117" t="str">
        <f t="shared" ca="1" si="4"/>
        <v>20140825-000117--190001000000@LIBRARY.NASHVILLE.ORG</v>
      </c>
      <c r="B117" s="15" t="str">
        <f t="shared" si="6"/>
        <v/>
      </c>
      <c r="C117" s="15"/>
      <c r="D117" s="16" t="str">
        <f t="shared" si="5"/>
        <v/>
      </c>
      <c r="E117" s="21"/>
      <c r="F117" s="7"/>
      <c r="G117" s="19"/>
      <c r="H117" s="17"/>
      <c r="I117" s="1"/>
      <c r="N117" s="1"/>
      <c r="O117" s="1"/>
      <c r="P117" s="18"/>
      <c r="Q117" s="18"/>
      <c r="R117" s="18"/>
      <c r="S117" s="18"/>
      <c r="T117" s="18"/>
      <c r="U117" s="18"/>
      <c r="V117" s="18"/>
      <c r="W117" s="18"/>
      <c r="X117" s="18"/>
      <c r="Y117" s="18"/>
      <c r="Z117" s="18"/>
      <c r="AA117" s="18"/>
      <c r="AB117" s="18"/>
      <c r="AC117" s="18"/>
      <c r="AD117" s="18"/>
      <c r="AE117" s="15"/>
      <c r="AF117" s="15"/>
    </row>
    <row r="118" spans="1:32" x14ac:dyDescent="0.25">
      <c r="A118" t="str">
        <f t="shared" ca="1" si="4"/>
        <v>20140825-000118--190001000000@LIBRARY.NASHVILLE.ORG</v>
      </c>
      <c r="B118" s="15" t="str">
        <f t="shared" si="6"/>
        <v/>
      </c>
      <c r="C118" s="15"/>
      <c r="D118" s="16" t="str">
        <f t="shared" si="5"/>
        <v/>
      </c>
      <c r="E118" s="21"/>
      <c r="F118" s="7"/>
      <c r="G118" s="19"/>
      <c r="H118" s="17"/>
      <c r="I118" s="1"/>
      <c r="N118" s="1"/>
      <c r="O118" s="1"/>
      <c r="P118" s="18"/>
      <c r="Q118" s="18"/>
      <c r="R118" s="18"/>
      <c r="S118" s="18"/>
      <c r="T118" s="18"/>
      <c r="U118" s="18"/>
      <c r="V118" s="18"/>
      <c r="W118" s="18"/>
      <c r="X118" s="18"/>
      <c r="Y118" s="18"/>
      <c r="Z118" s="18"/>
      <c r="AA118" s="18"/>
      <c r="AB118" s="18"/>
      <c r="AC118" s="18"/>
      <c r="AD118" s="18"/>
      <c r="AE118" s="15"/>
      <c r="AF118" s="15"/>
    </row>
    <row r="119" spans="1:32" x14ac:dyDescent="0.25">
      <c r="A119" t="str">
        <f t="shared" ca="1" si="4"/>
        <v>20140825-000119--190001000000@LIBRARY.NASHVILLE.ORG</v>
      </c>
      <c r="B119" s="15" t="str">
        <f t="shared" si="6"/>
        <v/>
      </c>
      <c r="C119" s="15"/>
      <c r="D119" s="16" t="str">
        <f t="shared" si="5"/>
        <v/>
      </c>
      <c r="E119" s="21"/>
      <c r="F119" s="7"/>
      <c r="G119" s="19"/>
      <c r="H119" s="17"/>
      <c r="I119" s="1"/>
      <c r="N119" s="1"/>
      <c r="O119" s="1"/>
      <c r="P119" s="18"/>
      <c r="Q119" s="18"/>
      <c r="R119" s="18"/>
      <c r="S119" s="18"/>
      <c r="T119" s="18"/>
      <c r="U119" s="18"/>
      <c r="V119" s="18"/>
      <c r="W119" s="18"/>
      <c r="X119" s="18"/>
      <c r="Y119" s="18"/>
      <c r="Z119" s="18"/>
      <c r="AA119" s="18"/>
      <c r="AB119" s="18"/>
      <c r="AC119" s="18"/>
      <c r="AD119" s="18"/>
      <c r="AE119" s="15"/>
      <c r="AF119" s="15"/>
    </row>
    <row r="120" spans="1:32" x14ac:dyDescent="0.25">
      <c r="A120" t="str">
        <f t="shared" ca="1" si="4"/>
        <v>20140825-000120--190001000000@LIBRARY.NASHVILLE.ORG</v>
      </c>
      <c r="B120" s="15" t="str">
        <f t="shared" si="6"/>
        <v/>
      </c>
      <c r="C120" s="15"/>
      <c r="D120" s="16" t="str">
        <f t="shared" si="5"/>
        <v/>
      </c>
      <c r="E120" s="21"/>
      <c r="F120" s="7"/>
      <c r="G120" s="19"/>
      <c r="H120" s="17"/>
      <c r="I120" s="1"/>
      <c r="N120" s="1"/>
      <c r="O120" s="1"/>
      <c r="P120" s="18"/>
      <c r="Q120" s="18"/>
      <c r="R120" s="18"/>
      <c r="S120" s="18"/>
      <c r="T120" s="18"/>
      <c r="U120" s="18"/>
      <c r="V120" s="18"/>
      <c r="W120" s="18"/>
      <c r="X120" s="18"/>
      <c r="Y120" s="18"/>
      <c r="Z120" s="18"/>
      <c r="AA120" s="18"/>
      <c r="AB120" s="18"/>
      <c r="AC120" s="18"/>
      <c r="AD120" s="18"/>
      <c r="AE120" s="15"/>
      <c r="AF120" s="15"/>
    </row>
    <row r="121" spans="1:32" x14ac:dyDescent="0.25">
      <c r="A121" t="str">
        <f t="shared" ca="1" si="4"/>
        <v>20140825-000121--190001000000@LIBRARY.NASHVILLE.ORG</v>
      </c>
      <c r="B121" s="15" t="str">
        <f t="shared" si="6"/>
        <v/>
      </c>
      <c r="C121" s="15"/>
      <c r="D121" s="16" t="str">
        <f t="shared" si="5"/>
        <v/>
      </c>
      <c r="E121" s="21"/>
      <c r="F121" s="7"/>
      <c r="G121" s="19"/>
      <c r="H121" s="17"/>
      <c r="I121" s="1"/>
      <c r="N121" s="1"/>
      <c r="O121" s="1"/>
      <c r="P121" s="18"/>
      <c r="Q121" s="18"/>
      <c r="R121" s="18"/>
      <c r="S121" s="18"/>
      <c r="T121" s="18"/>
      <c r="U121" s="18"/>
      <c r="V121" s="18"/>
      <c r="W121" s="18"/>
      <c r="X121" s="18"/>
      <c r="Y121" s="18"/>
      <c r="Z121" s="18"/>
      <c r="AA121" s="18"/>
      <c r="AB121" s="18"/>
      <c r="AC121" s="18"/>
      <c r="AD121" s="18"/>
      <c r="AE121" s="15"/>
      <c r="AF121" s="15"/>
    </row>
    <row r="122" spans="1:32" x14ac:dyDescent="0.25">
      <c r="A122" t="str">
        <f t="shared" ca="1" si="4"/>
        <v>20140825-000122--190001000000@LIBRARY.NASHVILLE.ORG</v>
      </c>
      <c r="B122" s="15" t="str">
        <f t="shared" si="6"/>
        <v/>
      </c>
      <c r="C122" s="15"/>
      <c r="D122" s="16" t="str">
        <f t="shared" si="5"/>
        <v/>
      </c>
      <c r="E122" s="21"/>
      <c r="F122" s="7"/>
      <c r="G122" s="19"/>
      <c r="H122" s="17"/>
      <c r="I122" s="1"/>
      <c r="N122" s="1"/>
      <c r="O122" s="1"/>
      <c r="P122" s="18"/>
      <c r="Q122" s="18"/>
      <c r="R122" s="18"/>
      <c r="S122" s="18"/>
      <c r="T122" s="18"/>
      <c r="U122" s="18"/>
      <c r="V122" s="18"/>
      <c r="W122" s="18"/>
      <c r="X122" s="18"/>
      <c r="Y122" s="18"/>
      <c r="Z122" s="18"/>
      <c r="AA122" s="18"/>
      <c r="AB122" s="18"/>
      <c r="AC122" s="18"/>
      <c r="AD122" s="18"/>
      <c r="AE122" s="15"/>
      <c r="AF122" s="15"/>
    </row>
    <row r="123" spans="1:32" x14ac:dyDescent="0.25">
      <c r="A123" t="str">
        <f t="shared" ca="1" si="4"/>
        <v>20140825-000123--190001000000@LIBRARY.NASHVILLE.ORG</v>
      </c>
      <c r="B123" s="15" t="str">
        <f t="shared" si="6"/>
        <v/>
      </c>
      <c r="C123" s="15"/>
      <c r="D123" s="16" t="str">
        <f t="shared" si="5"/>
        <v/>
      </c>
      <c r="E123" s="21"/>
      <c r="F123" s="7"/>
      <c r="G123" s="19"/>
      <c r="H123" s="17"/>
      <c r="I123" s="1"/>
      <c r="N123" s="1"/>
      <c r="O123" s="1"/>
      <c r="P123" s="18"/>
      <c r="Q123" s="18"/>
      <c r="R123" s="18"/>
      <c r="S123" s="18"/>
      <c r="T123" s="18"/>
      <c r="U123" s="18"/>
      <c r="V123" s="18"/>
      <c r="W123" s="18"/>
      <c r="X123" s="18"/>
      <c r="Y123" s="18"/>
      <c r="Z123" s="18"/>
      <c r="AA123" s="18"/>
      <c r="AB123" s="18"/>
      <c r="AC123" s="18"/>
      <c r="AD123" s="18"/>
      <c r="AE123" s="15"/>
      <c r="AF123" s="15"/>
    </row>
    <row r="124" spans="1:32" x14ac:dyDescent="0.25">
      <c r="A124" t="str">
        <f t="shared" ca="1" si="4"/>
        <v>20140825-000124--190001000000@LIBRARY.NASHVILLE.ORG</v>
      </c>
      <c r="B124" s="15" t="str">
        <f t="shared" si="6"/>
        <v/>
      </c>
      <c r="C124" s="15"/>
      <c r="D124" s="16" t="str">
        <f t="shared" si="5"/>
        <v/>
      </c>
      <c r="E124" s="21"/>
      <c r="F124" s="7"/>
      <c r="G124" s="19"/>
      <c r="H124" s="17"/>
      <c r="I124" s="1"/>
      <c r="N124" s="1"/>
      <c r="O124" s="1"/>
      <c r="P124" s="18"/>
      <c r="Q124" s="18"/>
      <c r="R124" s="18"/>
      <c r="S124" s="18"/>
      <c r="T124" s="18"/>
      <c r="U124" s="18"/>
      <c r="V124" s="18"/>
      <c r="W124" s="18"/>
      <c r="X124" s="18"/>
      <c r="Y124" s="18"/>
      <c r="Z124" s="18"/>
      <c r="AA124" s="18"/>
      <c r="AB124" s="18"/>
      <c r="AC124" s="18"/>
      <c r="AD124" s="18"/>
      <c r="AE124" s="15"/>
      <c r="AF124" s="15"/>
    </row>
    <row r="125" spans="1:32" x14ac:dyDescent="0.25">
      <c r="A125" t="str">
        <f t="shared" ca="1" si="4"/>
        <v>20140825-000125--190001000000@LIBRARY.NASHVILLE.ORG</v>
      </c>
      <c r="B125" s="15" t="str">
        <f t="shared" si="6"/>
        <v/>
      </c>
      <c r="C125" s="15"/>
      <c r="D125" s="16" t="str">
        <f t="shared" si="5"/>
        <v/>
      </c>
      <c r="E125" s="21"/>
      <c r="F125" s="7"/>
      <c r="G125" s="19"/>
      <c r="H125" s="17"/>
      <c r="I125" s="1"/>
      <c r="N125" s="1"/>
      <c r="O125" s="1"/>
      <c r="P125" s="18"/>
      <c r="Q125" s="18"/>
      <c r="R125" s="18"/>
      <c r="S125" s="18"/>
      <c r="T125" s="18"/>
      <c r="U125" s="18"/>
      <c r="V125" s="18"/>
      <c r="W125" s="18"/>
      <c r="X125" s="18"/>
      <c r="Y125" s="18"/>
      <c r="Z125" s="18"/>
      <c r="AA125" s="18"/>
      <c r="AB125" s="18"/>
      <c r="AC125" s="18"/>
      <c r="AD125" s="18"/>
      <c r="AE125" s="15"/>
      <c r="AF125" s="15"/>
    </row>
    <row r="126" spans="1:32" x14ac:dyDescent="0.25">
      <c r="A126" t="str">
        <f t="shared" ca="1" si="4"/>
        <v>20140825-000126--190001000000@LIBRARY.NASHVILLE.ORG</v>
      </c>
      <c r="B126" s="15" t="str">
        <f t="shared" si="6"/>
        <v/>
      </c>
      <c r="C126" s="15"/>
      <c r="D126" s="16" t="str">
        <f t="shared" si="5"/>
        <v/>
      </c>
      <c r="E126" s="21"/>
      <c r="F126" s="7"/>
      <c r="G126" s="19"/>
      <c r="H126" s="17"/>
      <c r="I126" s="1"/>
      <c r="N126" s="1"/>
      <c r="O126" s="1"/>
      <c r="P126" s="18"/>
      <c r="Q126" s="18"/>
      <c r="R126" s="18"/>
      <c r="S126" s="18"/>
      <c r="T126" s="18"/>
      <c r="U126" s="18"/>
      <c r="V126" s="18"/>
      <c r="W126" s="18"/>
      <c r="X126" s="18"/>
      <c r="Y126" s="18"/>
      <c r="Z126" s="18"/>
      <c r="AA126" s="18"/>
      <c r="AB126" s="18"/>
      <c r="AC126" s="18"/>
      <c r="AD126" s="18"/>
      <c r="AE126" s="15"/>
      <c r="AF126" s="15"/>
    </row>
    <row r="127" spans="1:32" x14ac:dyDescent="0.25">
      <c r="A127" t="str">
        <f t="shared" ca="1" si="4"/>
        <v>20140825-000127--190001000000@LIBRARY.NASHVILLE.ORG</v>
      </c>
      <c r="B127" s="15" t="str">
        <f t="shared" si="6"/>
        <v/>
      </c>
      <c r="C127" s="15"/>
      <c r="D127" s="16" t="str">
        <f t="shared" si="5"/>
        <v/>
      </c>
      <c r="E127" s="21"/>
      <c r="F127" s="7"/>
      <c r="G127" s="19"/>
      <c r="H127" s="17"/>
      <c r="I127" s="1"/>
      <c r="N127" s="1"/>
      <c r="O127" s="1"/>
      <c r="P127" s="18"/>
      <c r="Q127" s="18"/>
      <c r="R127" s="18"/>
      <c r="S127" s="18"/>
      <c r="T127" s="18"/>
      <c r="U127" s="18"/>
      <c r="V127" s="18"/>
      <c r="W127" s="18"/>
      <c r="X127" s="18"/>
      <c r="Y127" s="18"/>
      <c r="Z127" s="18"/>
      <c r="AA127" s="18"/>
      <c r="AB127" s="18"/>
      <c r="AC127" s="18"/>
      <c r="AD127" s="18"/>
      <c r="AE127" s="15"/>
      <c r="AF127" s="15"/>
    </row>
    <row r="128" spans="1:32" x14ac:dyDescent="0.25">
      <c r="A128" t="str">
        <f t="shared" ca="1" si="4"/>
        <v>20140825-000128--190001000000@LIBRARY.NASHVILLE.ORG</v>
      </c>
      <c r="B128" s="15" t="str">
        <f t="shared" si="6"/>
        <v/>
      </c>
      <c r="C128" s="15"/>
      <c r="D128" s="16" t="str">
        <f t="shared" si="5"/>
        <v/>
      </c>
      <c r="E128" s="21"/>
      <c r="F128" s="7"/>
      <c r="G128" s="19"/>
      <c r="H128" s="17"/>
      <c r="I128" s="1"/>
      <c r="N128" s="1"/>
      <c r="O128" s="1"/>
      <c r="P128" s="18"/>
      <c r="Q128" s="18"/>
      <c r="R128" s="18"/>
      <c r="S128" s="18"/>
      <c r="T128" s="18"/>
      <c r="U128" s="18"/>
      <c r="V128" s="18"/>
      <c r="W128" s="18"/>
      <c r="X128" s="18"/>
      <c r="Y128" s="18"/>
      <c r="Z128" s="18"/>
      <c r="AA128" s="18"/>
      <c r="AB128" s="18"/>
      <c r="AC128" s="18"/>
      <c r="AD128" s="18"/>
      <c r="AE128" s="15"/>
      <c r="AF128" s="15"/>
    </row>
    <row r="129" spans="1:32" x14ac:dyDescent="0.25">
      <c r="A129" t="str">
        <f t="shared" ca="1" si="4"/>
        <v>20140825-000129--190001000000@LIBRARY.NASHVILLE.ORG</v>
      </c>
      <c r="B129" s="15" t="str">
        <f t="shared" si="6"/>
        <v/>
      </c>
      <c r="C129" s="15"/>
      <c r="D129" s="16" t="str">
        <f t="shared" si="5"/>
        <v/>
      </c>
      <c r="E129" s="21"/>
      <c r="F129" s="7"/>
      <c r="G129" s="19"/>
      <c r="H129" s="17"/>
      <c r="I129" s="1"/>
      <c r="N129" s="1"/>
      <c r="O129" s="1"/>
      <c r="P129" s="18"/>
      <c r="Q129" s="18"/>
      <c r="R129" s="18"/>
      <c r="S129" s="18"/>
      <c r="T129" s="18"/>
      <c r="U129" s="18"/>
      <c r="V129" s="18"/>
      <c r="W129" s="18"/>
      <c r="X129" s="18"/>
      <c r="Y129" s="18"/>
      <c r="Z129" s="18"/>
      <c r="AA129" s="18"/>
      <c r="AB129" s="18"/>
      <c r="AC129" s="18"/>
      <c r="AD129" s="18"/>
      <c r="AE129" s="15"/>
      <c r="AF129" s="15"/>
    </row>
    <row r="130" spans="1:32" x14ac:dyDescent="0.25">
      <c r="A130" t="str">
        <f t="shared" ref="A130:A193" ca="1" si="7">UPPER(CONCATENATE(TEXT(TODAY(),"yyyymmdd"),"-",TEXT(ROW(),"000000"),"-",SUBSTITUTE(B130," ",""),"-",TEXT(C130,"yyyymmdd"),TEXT(E130,"hhmm"),"@library.nashville.org"))</f>
        <v>20140825-000130--190001000000@LIBRARY.NASHVILLE.ORG</v>
      </c>
      <c r="B130" s="15" t="str">
        <f t="shared" si="6"/>
        <v/>
      </c>
      <c r="C130" s="15"/>
      <c r="D130" s="16" t="str">
        <f t="shared" si="5"/>
        <v/>
      </c>
      <c r="E130" s="21"/>
      <c r="F130" s="7"/>
      <c r="G130" s="19"/>
      <c r="H130" s="17"/>
      <c r="I130" s="1"/>
      <c r="N130" s="1"/>
      <c r="O130" s="1"/>
      <c r="P130" s="18"/>
      <c r="Q130" s="18"/>
      <c r="R130" s="18"/>
      <c r="S130" s="18"/>
      <c r="T130" s="18"/>
      <c r="U130" s="18"/>
      <c r="V130" s="18"/>
      <c r="W130" s="18"/>
      <c r="X130" s="18"/>
      <c r="Y130" s="18"/>
      <c r="Z130" s="18"/>
      <c r="AA130" s="18"/>
      <c r="AB130" s="18"/>
      <c r="AC130" s="18"/>
      <c r="AD130" s="18"/>
      <c r="AE130" s="15"/>
      <c r="AF130" s="15"/>
    </row>
    <row r="131" spans="1:32" x14ac:dyDescent="0.25">
      <c r="A131" t="str">
        <f t="shared" ca="1" si="7"/>
        <v>20140825-000131--190001000000@LIBRARY.NASHVILLE.ORG</v>
      </c>
      <c r="B131" s="15" t="str">
        <f t="shared" si="6"/>
        <v/>
      </c>
      <c r="C131" s="15"/>
      <c r="D131" s="16" t="str">
        <f t="shared" ref="D131:D194" si="8">IF(C131=0,"",TEXT($C131,"dddd"))</f>
        <v/>
      </c>
      <c r="E131" s="21"/>
      <c r="F131" s="7"/>
      <c r="G131" s="19"/>
      <c r="H131" s="17"/>
      <c r="I131" s="1"/>
      <c r="N131" s="1"/>
      <c r="O131" s="1"/>
      <c r="P131" s="18"/>
      <c r="Q131" s="18"/>
      <c r="R131" s="18"/>
      <c r="S131" s="18"/>
      <c r="T131" s="18"/>
      <c r="U131" s="18"/>
      <c r="V131" s="18"/>
      <c r="W131" s="18"/>
      <c r="X131" s="18"/>
      <c r="Y131" s="18"/>
      <c r="Z131" s="18"/>
      <c r="AA131" s="18"/>
      <c r="AB131" s="18"/>
      <c r="AC131" s="18"/>
      <c r="AD131" s="18"/>
      <c r="AE131" s="15"/>
      <c r="AF131" s="15"/>
    </row>
    <row r="132" spans="1:32" x14ac:dyDescent="0.25">
      <c r="A132" t="str">
        <f t="shared" ca="1" si="7"/>
        <v>20140825-000132--190001000000@LIBRARY.NASHVILLE.ORG</v>
      </c>
      <c r="B132" s="15" t="str">
        <f t="shared" si="6"/>
        <v/>
      </c>
      <c r="C132" s="15"/>
      <c r="D132" s="16" t="str">
        <f t="shared" si="8"/>
        <v/>
      </c>
      <c r="E132" s="21"/>
      <c r="F132" s="7"/>
      <c r="G132" s="19"/>
      <c r="H132" s="17"/>
      <c r="I132" s="1"/>
      <c r="N132" s="1"/>
      <c r="O132" s="1"/>
      <c r="P132" s="18"/>
      <c r="Q132" s="18"/>
      <c r="R132" s="18"/>
      <c r="S132" s="18"/>
      <c r="T132" s="18"/>
      <c r="U132" s="18"/>
      <c r="V132" s="18"/>
      <c r="W132" s="18"/>
      <c r="X132" s="18"/>
      <c r="Y132" s="18"/>
      <c r="Z132" s="18"/>
      <c r="AA132" s="18"/>
      <c r="AB132" s="18"/>
      <c r="AC132" s="18"/>
      <c r="AD132" s="18"/>
      <c r="AE132" s="15"/>
      <c r="AF132" s="15"/>
    </row>
    <row r="133" spans="1:32" x14ac:dyDescent="0.25">
      <c r="A133" t="str">
        <f t="shared" ca="1" si="7"/>
        <v>20140825-000133--190001000000@LIBRARY.NASHVILLE.ORG</v>
      </c>
      <c r="B133" s="15" t="str">
        <f t="shared" si="6"/>
        <v/>
      </c>
      <c r="C133" s="15"/>
      <c r="D133" s="16" t="str">
        <f t="shared" si="8"/>
        <v/>
      </c>
      <c r="E133" s="21"/>
      <c r="F133" s="7"/>
      <c r="G133" s="19"/>
      <c r="H133" s="17"/>
      <c r="I133" s="1"/>
      <c r="N133" s="1"/>
      <c r="O133" s="1"/>
      <c r="P133" s="18"/>
      <c r="Q133" s="18"/>
      <c r="R133" s="18"/>
      <c r="S133" s="18"/>
      <c r="T133" s="18"/>
      <c r="U133" s="18"/>
      <c r="V133" s="18"/>
      <c r="W133" s="18"/>
      <c r="X133" s="18"/>
      <c r="Y133" s="18"/>
      <c r="Z133" s="18"/>
      <c r="AA133" s="18"/>
      <c r="AB133" s="18"/>
      <c r="AC133" s="18"/>
      <c r="AD133" s="18"/>
      <c r="AE133" s="15"/>
      <c r="AF133" s="15"/>
    </row>
    <row r="134" spans="1:32" x14ac:dyDescent="0.25">
      <c r="A134" t="str">
        <f t="shared" ca="1" si="7"/>
        <v>20140825-000134--190001000000@LIBRARY.NASHVILLE.ORG</v>
      </c>
      <c r="B134" s="15" t="str">
        <f t="shared" si="6"/>
        <v/>
      </c>
      <c r="C134" s="15"/>
      <c r="D134" s="16" t="str">
        <f t="shared" si="8"/>
        <v/>
      </c>
      <c r="E134" s="21"/>
      <c r="F134" s="7"/>
      <c r="G134" s="19"/>
      <c r="H134" s="17"/>
      <c r="I134" s="1"/>
      <c r="N134" s="1"/>
      <c r="O134" s="1"/>
      <c r="P134" s="18"/>
      <c r="Q134" s="18"/>
      <c r="R134" s="18"/>
      <c r="S134" s="18"/>
      <c r="T134" s="18"/>
      <c r="U134" s="18"/>
      <c r="V134" s="18"/>
      <c r="W134" s="18"/>
      <c r="X134" s="18"/>
      <c r="Y134" s="18"/>
      <c r="Z134" s="18"/>
      <c r="AA134" s="18"/>
      <c r="AB134" s="18"/>
      <c r="AC134" s="18"/>
      <c r="AD134" s="18"/>
      <c r="AE134" s="15"/>
      <c r="AF134" s="15"/>
    </row>
    <row r="135" spans="1:32" x14ac:dyDescent="0.25">
      <c r="A135" t="str">
        <f t="shared" ca="1" si="7"/>
        <v>20140825-000135--190001000000@LIBRARY.NASHVILLE.ORG</v>
      </c>
      <c r="B135" s="15" t="str">
        <f t="shared" si="6"/>
        <v/>
      </c>
      <c r="C135" s="15"/>
      <c r="D135" s="16" t="str">
        <f t="shared" si="8"/>
        <v/>
      </c>
      <c r="E135" s="21"/>
      <c r="F135" s="7"/>
      <c r="G135" s="19"/>
      <c r="H135" s="17"/>
      <c r="I135" s="1"/>
      <c r="N135" s="1"/>
      <c r="O135" s="1"/>
      <c r="P135" s="18"/>
      <c r="Q135" s="18"/>
      <c r="R135" s="18"/>
      <c r="S135" s="18"/>
      <c r="T135" s="18"/>
      <c r="U135" s="18"/>
      <c r="V135" s="18"/>
      <c r="W135" s="18"/>
      <c r="X135" s="18"/>
      <c r="Y135" s="18"/>
      <c r="Z135" s="18"/>
      <c r="AA135" s="18"/>
      <c r="AB135" s="18"/>
      <c r="AC135" s="18"/>
      <c r="AD135" s="18"/>
      <c r="AE135" s="15"/>
      <c r="AF135" s="15"/>
    </row>
    <row r="136" spans="1:32" x14ac:dyDescent="0.25">
      <c r="A136" t="str">
        <f t="shared" ca="1" si="7"/>
        <v>20140825-000136--190001000000@LIBRARY.NASHVILLE.ORG</v>
      </c>
      <c r="B136" s="15" t="str">
        <f t="shared" si="6"/>
        <v/>
      </c>
      <c r="C136" s="15"/>
      <c r="D136" s="16" t="str">
        <f t="shared" si="8"/>
        <v/>
      </c>
      <c r="E136" s="21"/>
      <c r="F136" s="7"/>
      <c r="G136" s="19"/>
      <c r="H136" s="17"/>
      <c r="I136" s="1"/>
      <c r="N136" s="1"/>
      <c r="O136" s="1"/>
      <c r="P136" s="18"/>
      <c r="Q136" s="18"/>
      <c r="R136" s="18"/>
      <c r="S136" s="18"/>
      <c r="T136" s="18"/>
      <c r="U136" s="18"/>
      <c r="V136" s="18"/>
      <c r="W136" s="18"/>
      <c r="X136" s="18"/>
      <c r="Y136" s="18"/>
      <c r="Z136" s="18"/>
      <c r="AA136" s="18"/>
      <c r="AB136" s="18"/>
      <c r="AC136" s="18"/>
      <c r="AD136" s="18"/>
      <c r="AE136" s="15"/>
      <c r="AF136" s="15"/>
    </row>
    <row r="137" spans="1:32" x14ac:dyDescent="0.25">
      <c r="A137" t="str">
        <f t="shared" ca="1" si="7"/>
        <v>20140825-000137--190001000000@LIBRARY.NASHVILLE.ORG</v>
      </c>
      <c r="B137" s="15" t="str">
        <f t="shared" si="6"/>
        <v/>
      </c>
      <c r="C137" s="15"/>
      <c r="D137" s="16" t="str">
        <f t="shared" si="8"/>
        <v/>
      </c>
      <c r="E137" s="21"/>
      <c r="F137" s="7"/>
      <c r="G137" s="19"/>
      <c r="H137" s="17"/>
      <c r="I137" s="1"/>
      <c r="N137" s="1"/>
      <c r="O137" s="1"/>
      <c r="P137" s="18"/>
      <c r="Q137" s="18"/>
      <c r="R137" s="18"/>
      <c r="S137" s="18"/>
      <c r="T137" s="18"/>
      <c r="U137" s="18"/>
      <c r="V137" s="18"/>
      <c r="W137" s="18"/>
      <c r="X137" s="18"/>
      <c r="Y137" s="18"/>
      <c r="Z137" s="18"/>
      <c r="AA137" s="18"/>
      <c r="AB137" s="18"/>
      <c r="AC137" s="18"/>
      <c r="AD137" s="18"/>
      <c r="AE137" s="15"/>
      <c r="AF137" s="15"/>
    </row>
    <row r="138" spans="1:32" x14ac:dyDescent="0.25">
      <c r="A138" t="str">
        <f t="shared" ca="1" si="7"/>
        <v>20140825-000138--190001000000@LIBRARY.NASHVILLE.ORG</v>
      </c>
      <c r="B138" s="15" t="str">
        <f t="shared" si="6"/>
        <v/>
      </c>
      <c r="C138" s="15"/>
      <c r="D138" s="16" t="str">
        <f t="shared" si="8"/>
        <v/>
      </c>
      <c r="E138" s="21"/>
      <c r="F138" s="7"/>
      <c r="G138" s="19"/>
      <c r="H138" s="17"/>
      <c r="I138" s="1"/>
      <c r="N138" s="1"/>
      <c r="O138" s="1"/>
      <c r="P138" s="18"/>
      <c r="Q138" s="18"/>
      <c r="R138" s="18"/>
      <c r="S138" s="18"/>
      <c r="T138" s="18"/>
      <c r="U138" s="18"/>
      <c r="V138" s="18"/>
      <c r="W138" s="18"/>
      <c r="X138" s="18"/>
      <c r="Y138" s="18"/>
      <c r="Z138" s="18"/>
      <c r="AA138" s="18"/>
      <c r="AB138" s="18"/>
      <c r="AC138" s="18"/>
      <c r="AD138" s="18"/>
      <c r="AE138" s="15"/>
      <c r="AF138" s="15"/>
    </row>
    <row r="139" spans="1:32" x14ac:dyDescent="0.25">
      <c r="A139" t="str">
        <f t="shared" ca="1" si="7"/>
        <v>20140825-000139--190001000000@LIBRARY.NASHVILLE.ORG</v>
      </c>
      <c r="B139" s="15" t="str">
        <f t="shared" si="6"/>
        <v/>
      </c>
      <c r="C139" s="15"/>
      <c r="D139" s="16" t="str">
        <f t="shared" si="8"/>
        <v/>
      </c>
      <c r="E139" s="21"/>
      <c r="F139" s="7"/>
      <c r="G139" s="19"/>
      <c r="H139" s="17"/>
      <c r="I139" s="1"/>
      <c r="N139" s="1"/>
      <c r="O139" s="1"/>
      <c r="P139" s="18"/>
      <c r="Q139" s="18"/>
      <c r="R139" s="18"/>
      <c r="S139" s="18"/>
      <c r="T139" s="18"/>
      <c r="U139" s="18"/>
      <c r="V139" s="18"/>
      <c r="W139" s="18"/>
      <c r="X139" s="18"/>
      <c r="Y139" s="18"/>
      <c r="Z139" s="18"/>
      <c r="AA139" s="18"/>
      <c r="AB139" s="18"/>
      <c r="AC139" s="18"/>
      <c r="AD139" s="18"/>
      <c r="AE139" s="15"/>
      <c r="AF139" s="15"/>
    </row>
    <row r="140" spans="1:32" x14ac:dyDescent="0.25">
      <c r="A140" t="str">
        <f t="shared" ca="1" si="7"/>
        <v>20140825-000140--190001000000@LIBRARY.NASHVILLE.ORG</v>
      </c>
      <c r="B140" s="15" t="str">
        <f t="shared" si="6"/>
        <v/>
      </c>
      <c r="C140" s="15"/>
      <c r="D140" s="16" t="str">
        <f t="shared" si="8"/>
        <v/>
      </c>
      <c r="E140" s="21"/>
      <c r="F140" s="7"/>
      <c r="G140" s="19"/>
      <c r="H140" s="17"/>
      <c r="I140" s="1"/>
      <c r="N140" s="1"/>
      <c r="O140" s="1"/>
      <c r="P140" s="18"/>
      <c r="Q140" s="18"/>
      <c r="R140" s="18"/>
      <c r="S140" s="18"/>
      <c r="T140" s="18"/>
      <c r="U140" s="18"/>
      <c r="V140" s="18"/>
      <c r="W140" s="18"/>
      <c r="X140" s="18"/>
      <c r="Y140" s="18"/>
      <c r="Z140" s="18"/>
      <c r="AA140" s="18"/>
      <c r="AB140" s="18"/>
      <c r="AC140" s="18"/>
      <c r="AD140" s="18"/>
      <c r="AE140" s="15"/>
      <c r="AF140" s="15"/>
    </row>
    <row r="141" spans="1:32" x14ac:dyDescent="0.25">
      <c r="A141" t="str">
        <f t="shared" ca="1" si="7"/>
        <v>20140825-000141--190001000000@LIBRARY.NASHVILLE.ORG</v>
      </c>
      <c r="B141" s="15" t="str">
        <f t="shared" ref="B141:B204" si="9">IF($B$2=0,"",TEXT($B$2,""))</f>
        <v/>
      </c>
      <c r="C141" s="15"/>
      <c r="D141" s="16" t="str">
        <f t="shared" si="8"/>
        <v/>
      </c>
      <c r="E141" s="21"/>
      <c r="F141" s="7"/>
      <c r="G141" s="19"/>
      <c r="H141" s="17"/>
      <c r="I141" s="1"/>
      <c r="N141" s="1"/>
      <c r="O141" s="1"/>
      <c r="P141" s="18"/>
      <c r="Q141" s="18"/>
      <c r="R141" s="18"/>
      <c r="S141" s="18"/>
      <c r="T141" s="18"/>
      <c r="U141" s="18"/>
      <c r="V141" s="18"/>
      <c r="W141" s="18"/>
      <c r="X141" s="18"/>
      <c r="Y141" s="18"/>
      <c r="Z141" s="18"/>
      <c r="AA141" s="18"/>
      <c r="AB141" s="18"/>
      <c r="AC141" s="18"/>
      <c r="AD141" s="18"/>
      <c r="AE141" s="15"/>
      <c r="AF141" s="15"/>
    </row>
    <row r="142" spans="1:32" x14ac:dyDescent="0.25">
      <c r="A142" t="str">
        <f t="shared" ca="1" si="7"/>
        <v>20140825-000142--190001000000@LIBRARY.NASHVILLE.ORG</v>
      </c>
      <c r="B142" s="15" t="str">
        <f t="shared" si="9"/>
        <v/>
      </c>
      <c r="C142" s="15"/>
      <c r="D142" s="16" t="str">
        <f t="shared" si="8"/>
        <v/>
      </c>
      <c r="E142" s="21"/>
      <c r="F142" s="7"/>
      <c r="G142" s="19"/>
      <c r="H142" s="17"/>
      <c r="I142" s="1"/>
      <c r="N142" s="1"/>
      <c r="O142" s="1"/>
      <c r="P142" s="18"/>
      <c r="Q142" s="18"/>
      <c r="R142" s="18"/>
      <c r="S142" s="18"/>
      <c r="T142" s="18"/>
      <c r="U142" s="18"/>
      <c r="V142" s="18"/>
      <c r="W142" s="18"/>
      <c r="X142" s="18"/>
      <c r="Y142" s="18"/>
      <c r="Z142" s="18"/>
      <c r="AA142" s="18"/>
      <c r="AB142" s="18"/>
      <c r="AC142" s="18"/>
      <c r="AD142" s="18"/>
      <c r="AE142" s="15"/>
      <c r="AF142" s="15"/>
    </row>
    <row r="143" spans="1:32" x14ac:dyDescent="0.25">
      <c r="A143" t="str">
        <f t="shared" ca="1" si="7"/>
        <v>20140825-000143--190001000000@LIBRARY.NASHVILLE.ORG</v>
      </c>
      <c r="B143" s="15" t="str">
        <f t="shared" si="9"/>
        <v/>
      </c>
      <c r="C143" s="15"/>
      <c r="D143" s="16" t="str">
        <f t="shared" si="8"/>
        <v/>
      </c>
      <c r="E143" s="21"/>
      <c r="F143" s="7"/>
      <c r="G143" s="19"/>
      <c r="H143" s="17"/>
      <c r="I143" s="1"/>
      <c r="N143" s="1"/>
      <c r="O143" s="1"/>
      <c r="P143" s="18"/>
      <c r="Q143" s="18"/>
      <c r="R143" s="18"/>
      <c r="S143" s="18"/>
      <c r="T143" s="18"/>
      <c r="U143" s="18"/>
      <c r="V143" s="18"/>
      <c r="W143" s="18"/>
      <c r="X143" s="18"/>
      <c r="Y143" s="18"/>
      <c r="Z143" s="18"/>
      <c r="AA143" s="18"/>
      <c r="AB143" s="18"/>
      <c r="AC143" s="18"/>
      <c r="AD143" s="18"/>
      <c r="AE143" s="15"/>
      <c r="AF143" s="15"/>
    </row>
    <row r="144" spans="1:32" x14ac:dyDescent="0.25">
      <c r="A144" t="str">
        <f t="shared" ca="1" si="7"/>
        <v>20140825-000144--190001000000@LIBRARY.NASHVILLE.ORG</v>
      </c>
      <c r="B144" s="15" t="str">
        <f t="shared" si="9"/>
        <v/>
      </c>
      <c r="C144" s="15"/>
      <c r="D144" s="16" t="str">
        <f t="shared" si="8"/>
        <v/>
      </c>
      <c r="E144" s="21"/>
      <c r="F144" s="7"/>
      <c r="G144" s="19"/>
      <c r="H144" s="17"/>
      <c r="I144" s="1"/>
      <c r="N144" s="1"/>
      <c r="O144" s="1"/>
      <c r="P144" s="18"/>
      <c r="Q144" s="18"/>
      <c r="R144" s="18"/>
      <c r="S144" s="18"/>
      <c r="T144" s="18"/>
      <c r="U144" s="18"/>
      <c r="V144" s="18"/>
      <c r="W144" s="18"/>
      <c r="X144" s="18"/>
      <c r="Y144" s="18"/>
      <c r="Z144" s="18"/>
      <c r="AA144" s="18"/>
      <c r="AB144" s="18"/>
      <c r="AC144" s="18"/>
      <c r="AD144" s="18"/>
      <c r="AE144" s="15"/>
      <c r="AF144" s="15"/>
    </row>
    <row r="145" spans="1:32" x14ac:dyDescent="0.25">
      <c r="A145" t="str">
        <f t="shared" ca="1" si="7"/>
        <v>20140825-000145--190001000000@LIBRARY.NASHVILLE.ORG</v>
      </c>
      <c r="B145" s="15" t="str">
        <f t="shared" si="9"/>
        <v/>
      </c>
      <c r="C145" s="15"/>
      <c r="D145" s="16" t="str">
        <f t="shared" si="8"/>
        <v/>
      </c>
      <c r="E145" s="21"/>
      <c r="F145" s="7"/>
      <c r="G145" s="19"/>
      <c r="H145" s="17"/>
      <c r="I145" s="1"/>
      <c r="N145" s="1"/>
      <c r="O145" s="1"/>
      <c r="P145" s="18"/>
      <c r="Q145" s="18"/>
      <c r="R145" s="18"/>
      <c r="S145" s="18"/>
      <c r="T145" s="18"/>
      <c r="U145" s="18"/>
      <c r="V145" s="18"/>
      <c r="W145" s="18"/>
      <c r="X145" s="18"/>
      <c r="Y145" s="18"/>
      <c r="Z145" s="18"/>
      <c r="AA145" s="18"/>
      <c r="AB145" s="18"/>
      <c r="AC145" s="18"/>
      <c r="AD145" s="18"/>
      <c r="AE145" s="15"/>
      <c r="AF145" s="15"/>
    </row>
    <row r="146" spans="1:32" x14ac:dyDescent="0.25">
      <c r="A146" t="str">
        <f t="shared" ca="1" si="7"/>
        <v>20140825-000146--190001000000@LIBRARY.NASHVILLE.ORG</v>
      </c>
      <c r="B146" s="15" t="str">
        <f t="shared" si="9"/>
        <v/>
      </c>
      <c r="C146" s="15"/>
      <c r="D146" s="16" t="str">
        <f t="shared" si="8"/>
        <v/>
      </c>
      <c r="E146" s="21"/>
      <c r="F146" s="7"/>
      <c r="G146" s="19"/>
      <c r="H146" s="17"/>
      <c r="I146" s="1"/>
      <c r="N146" s="1"/>
      <c r="O146" s="1"/>
      <c r="P146" s="18"/>
      <c r="Q146" s="18"/>
      <c r="R146" s="18"/>
      <c r="S146" s="18"/>
      <c r="T146" s="18"/>
      <c r="U146" s="18"/>
      <c r="V146" s="18"/>
      <c r="W146" s="18"/>
      <c r="X146" s="18"/>
      <c r="Y146" s="18"/>
      <c r="Z146" s="18"/>
      <c r="AA146" s="18"/>
      <c r="AB146" s="18"/>
      <c r="AC146" s="18"/>
      <c r="AD146" s="18"/>
      <c r="AE146" s="15"/>
      <c r="AF146" s="15"/>
    </row>
    <row r="147" spans="1:32" x14ac:dyDescent="0.25">
      <c r="A147" t="str">
        <f t="shared" ca="1" si="7"/>
        <v>20140825-000147--190001000000@LIBRARY.NASHVILLE.ORG</v>
      </c>
      <c r="B147" s="15" t="str">
        <f t="shared" si="9"/>
        <v/>
      </c>
      <c r="C147" s="15"/>
      <c r="D147" s="16" t="str">
        <f t="shared" si="8"/>
        <v/>
      </c>
      <c r="E147" s="21"/>
      <c r="F147" s="7"/>
      <c r="G147" s="19"/>
      <c r="H147" s="17"/>
      <c r="I147" s="1"/>
      <c r="N147" s="1"/>
      <c r="O147" s="1"/>
      <c r="P147" s="18"/>
      <c r="Q147" s="18"/>
      <c r="R147" s="18"/>
      <c r="S147" s="18"/>
      <c r="T147" s="18"/>
      <c r="U147" s="18"/>
      <c r="V147" s="18"/>
      <c r="W147" s="18"/>
      <c r="X147" s="18"/>
      <c r="Y147" s="18"/>
      <c r="Z147" s="18"/>
      <c r="AA147" s="18"/>
      <c r="AB147" s="18"/>
      <c r="AC147" s="18"/>
      <c r="AD147" s="18"/>
      <c r="AE147" s="15"/>
      <c r="AF147" s="15"/>
    </row>
    <row r="148" spans="1:32" x14ac:dyDescent="0.25">
      <c r="A148" t="str">
        <f t="shared" ca="1" si="7"/>
        <v>20140825-000148--190001000000@LIBRARY.NASHVILLE.ORG</v>
      </c>
      <c r="B148" s="15" t="str">
        <f t="shared" si="9"/>
        <v/>
      </c>
      <c r="C148" s="15"/>
      <c r="D148" s="16" t="str">
        <f t="shared" si="8"/>
        <v/>
      </c>
      <c r="E148" s="21"/>
      <c r="F148" s="7"/>
      <c r="G148" s="19"/>
      <c r="H148" s="17"/>
      <c r="I148" s="1"/>
      <c r="N148" s="1"/>
      <c r="O148" s="1"/>
      <c r="P148" s="18"/>
      <c r="Q148" s="18"/>
      <c r="R148" s="18"/>
      <c r="S148" s="18"/>
      <c r="T148" s="18"/>
      <c r="U148" s="18"/>
      <c r="V148" s="18"/>
      <c r="W148" s="18"/>
      <c r="X148" s="18"/>
      <c r="Y148" s="18"/>
      <c r="Z148" s="18"/>
      <c r="AA148" s="18"/>
      <c r="AB148" s="18"/>
      <c r="AC148" s="18"/>
      <c r="AD148" s="18"/>
      <c r="AE148" s="15"/>
      <c r="AF148" s="15"/>
    </row>
    <row r="149" spans="1:32" x14ac:dyDescent="0.25">
      <c r="A149" t="str">
        <f t="shared" ca="1" si="7"/>
        <v>20140825-000149--190001000000@LIBRARY.NASHVILLE.ORG</v>
      </c>
      <c r="B149" s="15" t="str">
        <f t="shared" si="9"/>
        <v/>
      </c>
      <c r="C149" s="15"/>
      <c r="D149" s="16" t="str">
        <f t="shared" si="8"/>
        <v/>
      </c>
      <c r="E149" s="21"/>
      <c r="F149" s="7"/>
      <c r="G149" s="19"/>
      <c r="H149" s="17"/>
      <c r="I149" s="1"/>
      <c r="N149" s="1"/>
      <c r="O149" s="1"/>
      <c r="P149" s="18"/>
      <c r="Q149" s="18"/>
      <c r="R149" s="18"/>
      <c r="S149" s="18"/>
      <c r="T149" s="18"/>
      <c r="U149" s="18"/>
      <c r="V149" s="18"/>
      <c r="W149" s="18"/>
      <c r="X149" s="18"/>
      <c r="Y149" s="18"/>
      <c r="Z149" s="18"/>
      <c r="AA149" s="18"/>
      <c r="AB149" s="18"/>
      <c r="AC149" s="18"/>
      <c r="AD149" s="18"/>
      <c r="AE149" s="15"/>
      <c r="AF149" s="15"/>
    </row>
    <row r="150" spans="1:32" x14ac:dyDescent="0.25">
      <c r="A150" t="str">
        <f t="shared" ca="1" si="7"/>
        <v>20140825-000150--190001000000@LIBRARY.NASHVILLE.ORG</v>
      </c>
      <c r="B150" s="15" t="str">
        <f t="shared" si="9"/>
        <v/>
      </c>
      <c r="C150" s="15"/>
      <c r="D150" s="16" t="str">
        <f t="shared" si="8"/>
        <v/>
      </c>
      <c r="E150" s="21"/>
      <c r="F150" s="7"/>
      <c r="G150" s="19"/>
      <c r="H150" s="17"/>
      <c r="I150" s="1"/>
      <c r="N150" s="1"/>
      <c r="O150" s="1"/>
      <c r="P150" s="18"/>
      <c r="Q150" s="18"/>
      <c r="R150" s="18"/>
      <c r="S150" s="18"/>
      <c r="T150" s="18"/>
      <c r="U150" s="18"/>
      <c r="V150" s="18"/>
      <c r="W150" s="18"/>
      <c r="X150" s="18"/>
      <c r="Y150" s="18"/>
      <c r="Z150" s="18"/>
      <c r="AA150" s="18"/>
      <c r="AB150" s="18"/>
      <c r="AC150" s="18"/>
      <c r="AD150" s="18"/>
      <c r="AE150" s="15"/>
      <c r="AF150" s="15"/>
    </row>
    <row r="151" spans="1:32" x14ac:dyDescent="0.25">
      <c r="A151" t="str">
        <f t="shared" ca="1" si="7"/>
        <v>20140825-000151--190001000000@LIBRARY.NASHVILLE.ORG</v>
      </c>
      <c r="B151" s="15" t="str">
        <f t="shared" si="9"/>
        <v/>
      </c>
      <c r="C151" s="15"/>
      <c r="D151" s="16" t="str">
        <f t="shared" si="8"/>
        <v/>
      </c>
      <c r="E151" s="21"/>
      <c r="F151" s="7"/>
      <c r="G151" s="19"/>
      <c r="H151" s="17"/>
      <c r="I151" s="1"/>
      <c r="N151" s="1"/>
      <c r="O151" s="1"/>
      <c r="P151" s="18"/>
      <c r="Q151" s="18"/>
      <c r="R151" s="18"/>
      <c r="S151" s="18"/>
      <c r="T151" s="18"/>
      <c r="U151" s="18"/>
      <c r="V151" s="18"/>
      <c r="W151" s="18"/>
      <c r="X151" s="18"/>
      <c r="Y151" s="18"/>
      <c r="Z151" s="18"/>
      <c r="AA151" s="18"/>
      <c r="AB151" s="18"/>
      <c r="AC151" s="18"/>
      <c r="AD151" s="18"/>
      <c r="AE151" s="15"/>
      <c r="AF151" s="15"/>
    </row>
    <row r="152" spans="1:32" x14ac:dyDescent="0.25">
      <c r="A152" t="str">
        <f t="shared" ca="1" si="7"/>
        <v>20140825-000152--190001000000@LIBRARY.NASHVILLE.ORG</v>
      </c>
      <c r="B152" s="15" t="str">
        <f t="shared" si="9"/>
        <v/>
      </c>
      <c r="C152" s="15"/>
      <c r="D152" s="16" t="str">
        <f t="shared" si="8"/>
        <v/>
      </c>
      <c r="E152" s="21"/>
      <c r="F152" s="7"/>
      <c r="G152" s="19"/>
      <c r="H152" s="17"/>
      <c r="I152" s="1"/>
      <c r="N152" s="1"/>
      <c r="O152" s="1"/>
      <c r="P152" s="18"/>
      <c r="Q152" s="18"/>
      <c r="R152" s="18"/>
      <c r="S152" s="18"/>
      <c r="T152" s="18"/>
      <c r="U152" s="18"/>
      <c r="V152" s="18"/>
      <c r="W152" s="18"/>
      <c r="X152" s="18"/>
      <c r="Y152" s="18"/>
      <c r="Z152" s="18"/>
      <c r="AA152" s="18"/>
      <c r="AB152" s="18"/>
      <c r="AC152" s="18"/>
      <c r="AD152" s="18"/>
      <c r="AE152" s="15"/>
      <c r="AF152" s="15"/>
    </row>
    <row r="153" spans="1:32" x14ac:dyDescent="0.25">
      <c r="A153" t="str">
        <f t="shared" ca="1" si="7"/>
        <v>20140825-000153--190001000000@LIBRARY.NASHVILLE.ORG</v>
      </c>
      <c r="B153" s="15" t="str">
        <f t="shared" si="9"/>
        <v/>
      </c>
      <c r="C153" s="15"/>
      <c r="D153" s="16" t="str">
        <f t="shared" si="8"/>
        <v/>
      </c>
      <c r="E153" s="21"/>
      <c r="F153" s="7"/>
      <c r="G153" s="19"/>
      <c r="H153" s="17"/>
      <c r="I153" s="1"/>
      <c r="N153" s="1"/>
      <c r="O153" s="1"/>
      <c r="P153" s="18"/>
      <c r="Q153" s="18"/>
      <c r="R153" s="18"/>
      <c r="S153" s="18"/>
      <c r="T153" s="18"/>
      <c r="U153" s="18"/>
      <c r="V153" s="18"/>
      <c r="W153" s="18"/>
      <c r="X153" s="18"/>
      <c r="Y153" s="18"/>
      <c r="Z153" s="18"/>
      <c r="AA153" s="18"/>
      <c r="AB153" s="18"/>
      <c r="AC153" s="18"/>
      <c r="AD153" s="18"/>
      <c r="AE153" s="15"/>
      <c r="AF153" s="15"/>
    </row>
    <row r="154" spans="1:32" x14ac:dyDescent="0.25">
      <c r="A154" t="str">
        <f t="shared" ca="1" si="7"/>
        <v>20140825-000154--190001000000@LIBRARY.NASHVILLE.ORG</v>
      </c>
      <c r="B154" s="15" t="str">
        <f t="shared" si="9"/>
        <v/>
      </c>
      <c r="C154" s="15"/>
      <c r="D154" s="16" t="str">
        <f t="shared" si="8"/>
        <v/>
      </c>
      <c r="E154" s="21"/>
      <c r="F154" s="7"/>
      <c r="G154" s="19"/>
      <c r="H154" s="17"/>
      <c r="I154" s="1"/>
      <c r="N154" s="1"/>
      <c r="O154" s="1"/>
      <c r="P154" s="18"/>
      <c r="Q154" s="18"/>
      <c r="R154" s="18"/>
      <c r="S154" s="18"/>
      <c r="T154" s="18"/>
      <c r="U154" s="18"/>
      <c r="V154" s="18"/>
      <c r="W154" s="18"/>
      <c r="X154" s="18"/>
      <c r="Y154" s="18"/>
      <c r="Z154" s="18"/>
      <c r="AA154" s="18"/>
      <c r="AB154" s="18"/>
      <c r="AC154" s="18"/>
      <c r="AD154" s="18"/>
      <c r="AE154" s="15"/>
      <c r="AF154" s="15"/>
    </row>
    <row r="155" spans="1:32" x14ac:dyDescent="0.25">
      <c r="A155" t="str">
        <f t="shared" ca="1" si="7"/>
        <v>20140825-000155--190001000000@LIBRARY.NASHVILLE.ORG</v>
      </c>
      <c r="B155" s="15" t="str">
        <f t="shared" si="9"/>
        <v/>
      </c>
      <c r="C155" s="15"/>
      <c r="D155" s="16" t="str">
        <f t="shared" si="8"/>
        <v/>
      </c>
      <c r="E155" s="21"/>
      <c r="F155" s="7"/>
      <c r="G155" s="19"/>
      <c r="H155" s="17"/>
      <c r="I155" s="1"/>
      <c r="N155" s="1"/>
      <c r="O155" s="1"/>
      <c r="P155" s="18"/>
      <c r="Q155" s="18"/>
      <c r="R155" s="18"/>
      <c r="S155" s="18"/>
      <c r="T155" s="18"/>
      <c r="U155" s="18"/>
      <c r="V155" s="18"/>
      <c r="W155" s="18"/>
      <c r="X155" s="18"/>
      <c r="Y155" s="18"/>
      <c r="Z155" s="18"/>
      <c r="AA155" s="18"/>
      <c r="AB155" s="18"/>
      <c r="AC155" s="18"/>
      <c r="AD155" s="18"/>
      <c r="AE155" s="15"/>
      <c r="AF155" s="15"/>
    </row>
    <row r="156" spans="1:32" x14ac:dyDescent="0.25">
      <c r="A156" t="str">
        <f t="shared" ca="1" si="7"/>
        <v>20140825-000156--190001000000@LIBRARY.NASHVILLE.ORG</v>
      </c>
      <c r="B156" s="15" t="str">
        <f t="shared" si="9"/>
        <v/>
      </c>
      <c r="C156" s="15"/>
      <c r="D156" s="16" t="str">
        <f t="shared" si="8"/>
        <v/>
      </c>
      <c r="E156" s="21"/>
      <c r="F156" s="7"/>
      <c r="G156" s="19"/>
      <c r="H156" s="17"/>
      <c r="I156" s="1"/>
      <c r="N156" s="1"/>
      <c r="O156" s="1"/>
      <c r="P156" s="18"/>
      <c r="Q156" s="18"/>
      <c r="R156" s="18"/>
      <c r="S156" s="18"/>
      <c r="T156" s="18"/>
      <c r="U156" s="18"/>
      <c r="V156" s="18"/>
      <c r="W156" s="18"/>
      <c r="X156" s="18"/>
      <c r="Y156" s="18"/>
      <c r="Z156" s="18"/>
      <c r="AA156" s="18"/>
      <c r="AB156" s="18"/>
      <c r="AC156" s="18"/>
      <c r="AD156" s="18"/>
      <c r="AE156" s="15"/>
      <c r="AF156" s="15"/>
    </row>
    <row r="157" spans="1:32" x14ac:dyDescent="0.25">
      <c r="A157" t="str">
        <f t="shared" ca="1" si="7"/>
        <v>20140825-000157--190001000000@LIBRARY.NASHVILLE.ORG</v>
      </c>
      <c r="B157" s="15" t="str">
        <f t="shared" si="9"/>
        <v/>
      </c>
      <c r="C157" s="15"/>
      <c r="D157" s="16" t="str">
        <f t="shared" si="8"/>
        <v/>
      </c>
      <c r="E157" s="21"/>
      <c r="F157" s="7"/>
      <c r="G157" s="19"/>
      <c r="H157" s="17"/>
      <c r="I157" s="1"/>
      <c r="N157" s="1"/>
      <c r="O157" s="1"/>
      <c r="P157" s="18"/>
      <c r="Q157" s="18"/>
      <c r="R157" s="18"/>
      <c r="S157" s="18"/>
      <c r="T157" s="18"/>
      <c r="U157" s="18"/>
      <c r="V157" s="18"/>
      <c r="W157" s="18"/>
      <c r="X157" s="18"/>
      <c r="Y157" s="18"/>
      <c r="Z157" s="18"/>
      <c r="AA157" s="18"/>
      <c r="AB157" s="18"/>
      <c r="AC157" s="18"/>
      <c r="AD157" s="18"/>
      <c r="AE157" s="15"/>
      <c r="AF157" s="15"/>
    </row>
    <row r="158" spans="1:32" x14ac:dyDescent="0.25">
      <c r="A158" t="str">
        <f t="shared" ca="1" si="7"/>
        <v>20140825-000158--190001000000@LIBRARY.NASHVILLE.ORG</v>
      </c>
      <c r="B158" s="15" t="str">
        <f t="shared" si="9"/>
        <v/>
      </c>
      <c r="C158" s="15"/>
      <c r="D158" s="16" t="str">
        <f t="shared" si="8"/>
        <v/>
      </c>
      <c r="E158" s="21"/>
      <c r="F158" s="7"/>
      <c r="G158" s="19"/>
      <c r="H158" s="17"/>
      <c r="I158" s="1"/>
      <c r="N158" s="1"/>
      <c r="O158" s="1"/>
      <c r="P158" s="18"/>
      <c r="Q158" s="18"/>
      <c r="R158" s="18"/>
      <c r="S158" s="18"/>
      <c r="T158" s="18"/>
      <c r="U158" s="18"/>
      <c r="V158" s="18"/>
      <c r="W158" s="18"/>
      <c r="X158" s="18"/>
      <c r="Y158" s="18"/>
      <c r="Z158" s="18"/>
      <c r="AA158" s="18"/>
      <c r="AB158" s="18"/>
      <c r="AC158" s="18"/>
      <c r="AD158" s="18"/>
      <c r="AE158" s="15"/>
      <c r="AF158" s="15"/>
    </row>
    <row r="159" spans="1:32" x14ac:dyDescent="0.25">
      <c r="A159" t="str">
        <f t="shared" ca="1" si="7"/>
        <v>20140825-000159--190001000000@LIBRARY.NASHVILLE.ORG</v>
      </c>
      <c r="B159" s="15" t="str">
        <f t="shared" si="9"/>
        <v/>
      </c>
      <c r="C159" s="15"/>
      <c r="D159" s="16" t="str">
        <f t="shared" si="8"/>
        <v/>
      </c>
      <c r="E159" s="21"/>
      <c r="F159" s="7"/>
      <c r="G159" s="19"/>
      <c r="H159" s="17"/>
      <c r="I159" s="1"/>
      <c r="N159" s="1"/>
      <c r="O159" s="1"/>
      <c r="P159" s="18"/>
      <c r="Q159" s="18"/>
      <c r="R159" s="18"/>
      <c r="S159" s="18"/>
      <c r="T159" s="18"/>
      <c r="U159" s="18"/>
      <c r="V159" s="18"/>
      <c r="W159" s="18"/>
      <c r="X159" s="18"/>
      <c r="Y159" s="18"/>
      <c r="Z159" s="18"/>
      <c r="AA159" s="18"/>
      <c r="AB159" s="18"/>
      <c r="AC159" s="18"/>
      <c r="AD159" s="18"/>
      <c r="AE159" s="15"/>
      <c r="AF159" s="15"/>
    </row>
    <row r="160" spans="1:32" x14ac:dyDescent="0.25">
      <c r="A160" t="str">
        <f t="shared" ca="1" si="7"/>
        <v>20140825-000160--190001000000@LIBRARY.NASHVILLE.ORG</v>
      </c>
      <c r="B160" s="15" t="str">
        <f t="shared" si="9"/>
        <v/>
      </c>
      <c r="C160" s="15"/>
      <c r="D160" s="16" t="str">
        <f t="shared" si="8"/>
        <v/>
      </c>
      <c r="E160" s="21"/>
      <c r="F160" s="7"/>
      <c r="G160" s="19"/>
      <c r="H160" s="17"/>
      <c r="I160" s="1"/>
      <c r="N160" s="1"/>
      <c r="O160" s="1"/>
      <c r="P160" s="18"/>
      <c r="Q160" s="18"/>
      <c r="R160" s="18"/>
      <c r="S160" s="18"/>
      <c r="T160" s="18"/>
      <c r="U160" s="18"/>
      <c r="V160" s="18"/>
      <c r="W160" s="18"/>
      <c r="X160" s="18"/>
      <c r="Y160" s="18"/>
      <c r="Z160" s="18"/>
      <c r="AA160" s="18"/>
      <c r="AB160" s="18"/>
      <c r="AC160" s="18"/>
      <c r="AD160" s="18"/>
      <c r="AE160" s="15"/>
      <c r="AF160" s="15"/>
    </row>
    <row r="161" spans="1:32" x14ac:dyDescent="0.25">
      <c r="A161" t="str">
        <f t="shared" ca="1" si="7"/>
        <v>20140825-000161--190001000000@LIBRARY.NASHVILLE.ORG</v>
      </c>
      <c r="B161" s="15" t="str">
        <f t="shared" si="9"/>
        <v/>
      </c>
      <c r="C161" s="15"/>
      <c r="D161" s="16" t="str">
        <f t="shared" si="8"/>
        <v/>
      </c>
      <c r="E161" s="21"/>
      <c r="F161" s="7"/>
      <c r="G161" s="19"/>
      <c r="H161" s="17"/>
      <c r="I161" s="1"/>
      <c r="N161" s="1"/>
      <c r="O161" s="1"/>
      <c r="P161" s="18"/>
      <c r="Q161" s="18"/>
      <c r="R161" s="18"/>
      <c r="S161" s="18"/>
      <c r="T161" s="18"/>
      <c r="U161" s="18"/>
      <c r="V161" s="18"/>
      <c r="W161" s="18"/>
      <c r="X161" s="18"/>
      <c r="Y161" s="18"/>
      <c r="Z161" s="18"/>
      <c r="AA161" s="18"/>
      <c r="AB161" s="18"/>
      <c r="AC161" s="18"/>
      <c r="AD161" s="18"/>
      <c r="AE161" s="15"/>
      <c r="AF161" s="15"/>
    </row>
    <row r="162" spans="1:32" x14ac:dyDescent="0.25">
      <c r="A162" t="str">
        <f t="shared" ca="1" si="7"/>
        <v>20140825-000162--190001000000@LIBRARY.NASHVILLE.ORG</v>
      </c>
      <c r="B162" s="15" t="str">
        <f t="shared" si="9"/>
        <v/>
      </c>
      <c r="C162" s="15"/>
      <c r="D162" s="16" t="str">
        <f t="shared" si="8"/>
        <v/>
      </c>
      <c r="E162" s="21"/>
      <c r="F162" s="7"/>
      <c r="G162" s="19"/>
      <c r="H162" s="17"/>
      <c r="I162" s="1"/>
      <c r="N162" s="1"/>
      <c r="O162" s="1"/>
      <c r="P162" s="18"/>
      <c r="Q162" s="18"/>
      <c r="R162" s="18"/>
      <c r="S162" s="18"/>
      <c r="T162" s="18"/>
      <c r="U162" s="18"/>
      <c r="V162" s="18"/>
      <c r="W162" s="18"/>
      <c r="X162" s="18"/>
      <c r="Y162" s="18"/>
      <c r="Z162" s="18"/>
      <c r="AA162" s="18"/>
      <c r="AB162" s="18"/>
      <c r="AC162" s="18"/>
      <c r="AD162" s="18"/>
      <c r="AE162" s="15"/>
      <c r="AF162" s="15"/>
    </row>
    <row r="163" spans="1:32" x14ac:dyDescent="0.25">
      <c r="A163" t="str">
        <f t="shared" ca="1" si="7"/>
        <v>20140825-000163--190001000000@LIBRARY.NASHVILLE.ORG</v>
      </c>
      <c r="B163" s="15" t="str">
        <f t="shared" si="9"/>
        <v/>
      </c>
      <c r="C163" s="15"/>
      <c r="D163" s="16" t="str">
        <f t="shared" si="8"/>
        <v/>
      </c>
      <c r="E163" s="21"/>
      <c r="F163" s="7"/>
      <c r="G163" s="19"/>
      <c r="H163" s="17"/>
      <c r="I163" s="1"/>
      <c r="N163" s="1"/>
      <c r="O163" s="1"/>
      <c r="P163" s="18"/>
      <c r="Q163" s="18"/>
      <c r="R163" s="18"/>
      <c r="S163" s="18"/>
      <c r="T163" s="18"/>
      <c r="U163" s="18"/>
      <c r="V163" s="18"/>
      <c r="W163" s="18"/>
      <c r="X163" s="18"/>
      <c r="Y163" s="18"/>
      <c r="Z163" s="18"/>
      <c r="AA163" s="18"/>
      <c r="AB163" s="18"/>
      <c r="AC163" s="18"/>
      <c r="AD163" s="18"/>
      <c r="AE163" s="15"/>
      <c r="AF163" s="15"/>
    </row>
    <row r="164" spans="1:32" x14ac:dyDescent="0.25">
      <c r="A164" t="str">
        <f t="shared" ca="1" si="7"/>
        <v>20140825-000164--190001000000@LIBRARY.NASHVILLE.ORG</v>
      </c>
      <c r="B164" s="15" t="str">
        <f t="shared" si="9"/>
        <v/>
      </c>
      <c r="C164" s="15"/>
      <c r="D164" s="16" t="str">
        <f t="shared" si="8"/>
        <v/>
      </c>
      <c r="E164" s="21"/>
      <c r="F164" s="7"/>
      <c r="G164" s="19"/>
      <c r="H164" s="17"/>
      <c r="I164" s="1"/>
      <c r="N164" s="1"/>
      <c r="O164" s="1"/>
      <c r="P164" s="18"/>
      <c r="Q164" s="18"/>
      <c r="R164" s="18"/>
      <c r="S164" s="18"/>
      <c r="T164" s="18"/>
      <c r="U164" s="18"/>
      <c r="V164" s="18"/>
      <c r="W164" s="18"/>
      <c r="X164" s="18"/>
      <c r="Y164" s="18"/>
      <c r="Z164" s="18"/>
      <c r="AA164" s="18"/>
      <c r="AB164" s="18"/>
      <c r="AC164" s="18"/>
      <c r="AD164" s="18"/>
      <c r="AE164" s="15"/>
      <c r="AF164" s="15"/>
    </row>
    <row r="165" spans="1:32" x14ac:dyDescent="0.25">
      <c r="A165" t="str">
        <f t="shared" ca="1" si="7"/>
        <v>20140825-000165--190001000000@LIBRARY.NASHVILLE.ORG</v>
      </c>
      <c r="B165" s="15" t="str">
        <f t="shared" si="9"/>
        <v/>
      </c>
      <c r="C165" s="15"/>
      <c r="D165" s="16" t="str">
        <f t="shared" si="8"/>
        <v/>
      </c>
      <c r="E165" s="21"/>
      <c r="F165" s="7"/>
      <c r="G165" s="19"/>
      <c r="H165" s="17"/>
      <c r="I165" s="1"/>
      <c r="O165" s="1"/>
      <c r="P165" s="18"/>
      <c r="Q165" s="18"/>
      <c r="R165" s="18"/>
      <c r="S165" s="18"/>
      <c r="T165" s="18"/>
      <c r="U165" s="18"/>
      <c r="V165" s="18"/>
      <c r="W165" s="18"/>
      <c r="X165" s="18"/>
      <c r="Y165" s="18"/>
      <c r="Z165" s="18"/>
      <c r="AA165" s="18"/>
      <c r="AB165" s="18"/>
      <c r="AC165" s="18"/>
      <c r="AD165" s="18"/>
      <c r="AE165" s="15"/>
      <c r="AF165" s="15"/>
    </row>
    <row r="166" spans="1:32" x14ac:dyDescent="0.25">
      <c r="A166" t="str">
        <f t="shared" ca="1" si="7"/>
        <v>20140825-000166--190001000000@LIBRARY.NASHVILLE.ORG</v>
      </c>
      <c r="B166" s="15" t="str">
        <f t="shared" si="9"/>
        <v/>
      </c>
      <c r="C166" s="15"/>
      <c r="D166" s="16" t="str">
        <f t="shared" si="8"/>
        <v/>
      </c>
      <c r="E166" s="21"/>
      <c r="F166" s="7"/>
      <c r="G166" s="19"/>
      <c r="H166" s="17"/>
      <c r="I166" s="1"/>
      <c r="O166" s="1"/>
      <c r="P166" s="18"/>
      <c r="Q166" s="18"/>
      <c r="R166" s="18"/>
      <c r="S166" s="18"/>
      <c r="T166" s="18"/>
      <c r="U166" s="18"/>
      <c r="V166" s="18"/>
      <c r="W166" s="18"/>
      <c r="X166" s="18"/>
      <c r="Y166" s="18"/>
      <c r="Z166" s="18"/>
      <c r="AA166" s="18"/>
      <c r="AB166" s="18"/>
      <c r="AC166" s="18"/>
      <c r="AD166" s="18"/>
      <c r="AE166" s="15"/>
      <c r="AF166" s="15"/>
    </row>
    <row r="167" spans="1:32" x14ac:dyDescent="0.25">
      <c r="A167" t="str">
        <f t="shared" ca="1" si="7"/>
        <v>20140825-000167--190001000000@LIBRARY.NASHVILLE.ORG</v>
      </c>
      <c r="B167" s="15" t="str">
        <f t="shared" si="9"/>
        <v/>
      </c>
      <c r="C167" s="15"/>
      <c r="D167" s="16" t="str">
        <f t="shared" si="8"/>
        <v/>
      </c>
      <c r="E167" s="21"/>
      <c r="F167" s="7"/>
      <c r="G167" s="19"/>
      <c r="H167" s="17"/>
      <c r="I167" s="1"/>
      <c r="O167" s="1"/>
      <c r="P167" s="18"/>
      <c r="Q167" s="18"/>
      <c r="R167" s="18"/>
      <c r="S167" s="18"/>
      <c r="T167" s="18"/>
      <c r="U167" s="18"/>
      <c r="V167" s="18"/>
      <c r="W167" s="18"/>
      <c r="X167" s="18"/>
      <c r="Y167" s="18"/>
      <c r="Z167" s="18"/>
      <c r="AA167" s="18"/>
      <c r="AB167" s="18"/>
      <c r="AC167" s="18"/>
      <c r="AD167" s="18"/>
      <c r="AE167" s="15"/>
      <c r="AF167" s="15"/>
    </row>
    <row r="168" spans="1:32" x14ac:dyDescent="0.25">
      <c r="A168" t="str">
        <f t="shared" ca="1" si="7"/>
        <v>20140825-000168--190001000000@LIBRARY.NASHVILLE.ORG</v>
      </c>
      <c r="B168" s="15" t="str">
        <f t="shared" si="9"/>
        <v/>
      </c>
      <c r="C168" s="15"/>
      <c r="D168" s="16" t="str">
        <f t="shared" si="8"/>
        <v/>
      </c>
      <c r="E168" s="21"/>
      <c r="F168" s="7"/>
      <c r="G168" s="19"/>
      <c r="H168" s="17"/>
      <c r="I168" s="1"/>
      <c r="O168" s="1"/>
      <c r="P168" s="18"/>
      <c r="Q168" s="18"/>
      <c r="R168" s="18"/>
      <c r="S168" s="18"/>
      <c r="T168" s="18"/>
      <c r="U168" s="18"/>
      <c r="V168" s="18"/>
      <c r="W168" s="18"/>
      <c r="X168" s="18"/>
      <c r="Y168" s="18"/>
      <c r="Z168" s="18"/>
      <c r="AA168" s="18"/>
      <c r="AB168" s="18"/>
      <c r="AC168" s="18"/>
      <c r="AD168" s="18"/>
      <c r="AE168" s="15"/>
      <c r="AF168" s="15"/>
    </row>
    <row r="169" spans="1:32" x14ac:dyDescent="0.25">
      <c r="A169" t="str">
        <f t="shared" ca="1" si="7"/>
        <v>20140825-000169--190001000000@LIBRARY.NASHVILLE.ORG</v>
      </c>
      <c r="B169" s="15" t="str">
        <f t="shared" si="9"/>
        <v/>
      </c>
      <c r="C169" s="15"/>
      <c r="D169" s="16" t="str">
        <f t="shared" si="8"/>
        <v/>
      </c>
      <c r="E169" s="21"/>
      <c r="F169" s="7"/>
      <c r="G169" s="19"/>
      <c r="H169" s="17"/>
      <c r="I169" s="1"/>
      <c r="O169" s="1"/>
      <c r="P169" s="18"/>
      <c r="Q169" s="18"/>
      <c r="R169" s="18"/>
      <c r="S169" s="18"/>
      <c r="T169" s="18"/>
      <c r="U169" s="18"/>
      <c r="V169" s="18"/>
      <c r="W169" s="18"/>
      <c r="X169" s="18"/>
      <c r="Y169" s="18"/>
      <c r="Z169" s="18"/>
      <c r="AA169" s="18"/>
      <c r="AB169" s="18"/>
      <c r="AC169" s="18"/>
      <c r="AD169" s="18"/>
      <c r="AE169" s="15"/>
      <c r="AF169" s="15"/>
    </row>
    <row r="170" spans="1:32" x14ac:dyDescent="0.25">
      <c r="A170" t="str">
        <f t="shared" ca="1" si="7"/>
        <v>20140825-000170--190001000000@LIBRARY.NASHVILLE.ORG</v>
      </c>
      <c r="B170" s="15" t="str">
        <f t="shared" si="9"/>
        <v/>
      </c>
      <c r="C170" s="15"/>
      <c r="D170" s="16" t="str">
        <f t="shared" si="8"/>
        <v/>
      </c>
      <c r="E170" s="21"/>
      <c r="F170" s="7"/>
      <c r="G170" s="19"/>
      <c r="H170" s="17"/>
      <c r="I170" s="1"/>
      <c r="O170" s="1"/>
      <c r="P170" s="18"/>
      <c r="Q170" s="18"/>
      <c r="R170" s="18"/>
      <c r="S170" s="18"/>
      <c r="T170" s="18"/>
      <c r="U170" s="18"/>
      <c r="V170" s="18"/>
      <c r="W170" s="18"/>
      <c r="X170" s="18"/>
      <c r="Y170" s="18"/>
      <c r="Z170" s="18"/>
      <c r="AA170" s="18"/>
      <c r="AB170" s="18"/>
      <c r="AC170" s="18"/>
      <c r="AD170" s="18"/>
      <c r="AE170" s="15"/>
      <c r="AF170" s="15"/>
    </row>
    <row r="171" spans="1:32" x14ac:dyDescent="0.25">
      <c r="A171" t="str">
        <f t="shared" ca="1" si="7"/>
        <v>20140825-000171--190001000000@LIBRARY.NASHVILLE.ORG</v>
      </c>
      <c r="B171" s="15" t="str">
        <f t="shared" si="9"/>
        <v/>
      </c>
      <c r="C171" s="15"/>
      <c r="D171" s="16" t="str">
        <f t="shared" si="8"/>
        <v/>
      </c>
      <c r="E171" s="21"/>
      <c r="F171" s="7"/>
      <c r="G171" s="19"/>
      <c r="H171" s="17"/>
      <c r="I171" s="1"/>
      <c r="O171" s="1"/>
      <c r="P171" s="18"/>
      <c r="Q171" s="18"/>
      <c r="R171" s="18"/>
      <c r="S171" s="18"/>
      <c r="T171" s="18"/>
      <c r="U171" s="18"/>
      <c r="V171" s="18"/>
      <c r="W171" s="18"/>
      <c r="X171" s="18"/>
      <c r="Y171" s="18"/>
      <c r="Z171" s="18"/>
      <c r="AA171" s="18"/>
      <c r="AB171" s="18"/>
      <c r="AC171" s="18"/>
      <c r="AD171" s="18"/>
      <c r="AE171" s="15"/>
      <c r="AF171" s="15"/>
    </row>
    <row r="172" spans="1:32" x14ac:dyDescent="0.25">
      <c r="A172" t="str">
        <f t="shared" ca="1" si="7"/>
        <v>20140825-000172--190001000000@LIBRARY.NASHVILLE.ORG</v>
      </c>
      <c r="B172" s="15" t="str">
        <f t="shared" si="9"/>
        <v/>
      </c>
      <c r="C172" s="15"/>
      <c r="D172" s="16" t="str">
        <f t="shared" si="8"/>
        <v/>
      </c>
      <c r="E172" s="21"/>
      <c r="F172" s="7"/>
      <c r="G172" s="19"/>
      <c r="H172" s="17"/>
      <c r="I172" s="1"/>
      <c r="O172" s="1"/>
      <c r="P172" s="18"/>
      <c r="Q172" s="18"/>
      <c r="R172" s="18"/>
      <c r="S172" s="18"/>
      <c r="T172" s="18"/>
      <c r="U172" s="18"/>
      <c r="V172" s="18"/>
      <c r="W172" s="18"/>
      <c r="X172" s="18"/>
      <c r="Y172" s="18"/>
      <c r="Z172" s="18"/>
      <c r="AA172" s="18"/>
      <c r="AB172" s="18"/>
      <c r="AC172" s="18"/>
      <c r="AD172" s="18"/>
      <c r="AE172" s="15"/>
      <c r="AF172" s="15"/>
    </row>
    <row r="173" spans="1:32" x14ac:dyDescent="0.25">
      <c r="A173" t="str">
        <f t="shared" ca="1" si="7"/>
        <v>20140825-000173--190001000000@LIBRARY.NASHVILLE.ORG</v>
      </c>
      <c r="B173" s="15" t="str">
        <f t="shared" si="9"/>
        <v/>
      </c>
      <c r="C173" s="15"/>
      <c r="D173" s="16" t="str">
        <f t="shared" si="8"/>
        <v/>
      </c>
      <c r="E173" s="21"/>
      <c r="F173" s="7"/>
      <c r="G173" s="19"/>
      <c r="H173" s="17"/>
      <c r="I173" s="1"/>
      <c r="O173" s="1"/>
      <c r="P173" s="18"/>
      <c r="Q173" s="18"/>
      <c r="R173" s="18"/>
      <c r="S173" s="18"/>
      <c r="T173" s="18"/>
      <c r="U173" s="18"/>
      <c r="V173" s="18"/>
      <c r="W173" s="18"/>
      <c r="X173" s="18"/>
      <c r="Y173" s="18"/>
      <c r="Z173" s="18"/>
      <c r="AA173" s="18"/>
      <c r="AB173" s="18"/>
      <c r="AC173" s="18"/>
      <c r="AD173" s="18"/>
      <c r="AE173" s="15"/>
      <c r="AF173" s="15"/>
    </row>
    <row r="174" spans="1:32" x14ac:dyDescent="0.25">
      <c r="A174" t="str">
        <f t="shared" ca="1" si="7"/>
        <v>20140825-000174--190001000000@LIBRARY.NASHVILLE.ORG</v>
      </c>
      <c r="B174" s="15" t="str">
        <f t="shared" si="9"/>
        <v/>
      </c>
      <c r="C174" s="15"/>
      <c r="D174" s="16" t="str">
        <f t="shared" si="8"/>
        <v/>
      </c>
      <c r="E174" s="21"/>
      <c r="F174" s="7"/>
      <c r="G174" s="19"/>
      <c r="H174" s="17"/>
      <c r="I174" s="1"/>
      <c r="O174" s="1"/>
      <c r="P174" s="18"/>
      <c r="Q174" s="18"/>
      <c r="R174" s="18"/>
      <c r="S174" s="18"/>
      <c r="T174" s="18"/>
      <c r="U174" s="18"/>
      <c r="V174" s="18"/>
      <c r="W174" s="18"/>
      <c r="X174" s="18"/>
      <c r="Y174" s="18"/>
      <c r="Z174" s="18"/>
      <c r="AA174" s="18"/>
      <c r="AB174" s="18"/>
      <c r="AC174" s="18"/>
      <c r="AD174" s="18"/>
      <c r="AE174" s="15"/>
      <c r="AF174" s="15"/>
    </row>
    <row r="175" spans="1:32" x14ac:dyDescent="0.25">
      <c r="A175" t="str">
        <f t="shared" ca="1" si="7"/>
        <v>20140825-000175--190001000000@LIBRARY.NASHVILLE.ORG</v>
      </c>
      <c r="B175" s="15" t="str">
        <f t="shared" si="9"/>
        <v/>
      </c>
      <c r="C175" s="15"/>
      <c r="D175" s="16" t="str">
        <f t="shared" si="8"/>
        <v/>
      </c>
      <c r="E175" s="21"/>
      <c r="F175" s="7"/>
      <c r="G175" s="19"/>
      <c r="H175" s="17"/>
      <c r="I175" s="1"/>
      <c r="O175" s="1"/>
      <c r="P175" s="18"/>
      <c r="Q175" s="18"/>
      <c r="R175" s="18"/>
      <c r="S175" s="18"/>
      <c r="T175" s="18"/>
      <c r="U175" s="18"/>
      <c r="V175" s="18"/>
      <c r="W175" s="18"/>
      <c r="X175" s="18"/>
      <c r="Y175" s="18"/>
      <c r="Z175" s="18"/>
      <c r="AA175" s="18"/>
      <c r="AB175" s="18"/>
      <c r="AC175" s="18"/>
      <c r="AD175" s="18"/>
      <c r="AE175" s="15"/>
      <c r="AF175" s="15"/>
    </row>
    <row r="176" spans="1:32" x14ac:dyDescent="0.25">
      <c r="A176" t="str">
        <f t="shared" ca="1" si="7"/>
        <v>20140825-000176--190001000000@LIBRARY.NASHVILLE.ORG</v>
      </c>
      <c r="B176" s="15" t="str">
        <f t="shared" si="9"/>
        <v/>
      </c>
      <c r="C176" s="15"/>
      <c r="D176" s="16" t="str">
        <f t="shared" si="8"/>
        <v/>
      </c>
      <c r="E176" s="21"/>
      <c r="F176" s="7"/>
      <c r="G176" s="19"/>
      <c r="H176" s="17"/>
      <c r="I176" s="1"/>
      <c r="O176" s="1"/>
      <c r="P176" s="18"/>
      <c r="Q176" s="18"/>
      <c r="R176" s="18"/>
      <c r="S176" s="18"/>
      <c r="T176" s="18"/>
      <c r="U176" s="18"/>
      <c r="V176" s="18"/>
      <c r="W176" s="18"/>
      <c r="X176" s="18"/>
      <c r="Y176" s="18"/>
      <c r="Z176" s="18"/>
      <c r="AA176" s="18"/>
      <c r="AB176" s="18"/>
      <c r="AC176" s="18"/>
      <c r="AD176" s="18"/>
      <c r="AE176" s="15"/>
      <c r="AF176" s="15"/>
    </row>
    <row r="177" spans="1:32" x14ac:dyDescent="0.25">
      <c r="A177" t="str">
        <f t="shared" ca="1" si="7"/>
        <v>20140825-000177--190001000000@LIBRARY.NASHVILLE.ORG</v>
      </c>
      <c r="B177" s="15" t="str">
        <f t="shared" si="9"/>
        <v/>
      </c>
      <c r="C177" s="15"/>
      <c r="D177" s="16" t="str">
        <f t="shared" si="8"/>
        <v/>
      </c>
      <c r="E177" s="21"/>
      <c r="F177" s="7"/>
      <c r="G177" s="19"/>
      <c r="H177" s="17"/>
      <c r="I177" s="1"/>
      <c r="O177" s="1"/>
      <c r="P177" s="18"/>
      <c r="Q177" s="18"/>
      <c r="R177" s="18"/>
      <c r="S177" s="18"/>
      <c r="T177" s="18"/>
      <c r="U177" s="18"/>
      <c r="V177" s="18"/>
      <c r="W177" s="18"/>
      <c r="X177" s="18"/>
      <c r="Y177" s="18"/>
      <c r="Z177" s="18"/>
      <c r="AA177" s="18"/>
      <c r="AB177" s="18"/>
      <c r="AC177" s="18"/>
      <c r="AD177" s="18"/>
      <c r="AE177" s="15"/>
      <c r="AF177" s="15"/>
    </row>
    <row r="178" spans="1:32" x14ac:dyDescent="0.25">
      <c r="A178" t="str">
        <f t="shared" ca="1" si="7"/>
        <v>20140825-000178--190001000000@LIBRARY.NASHVILLE.ORG</v>
      </c>
      <c r="B178" s="15" t="str">
        <f t="shared" si="9"/>
        <v/>
      </c>
      <c r="C178" s="15"/>
      <c r="D178" s="16" t="str">
        <f t="shared" si="8"/>
        <v/>
      </c>
      <c r="E178" s="21"/>
      <c r="F178" s="7"/>
      <c r="G178" s="19"/>
      <c r="H178" s="17"/>
      <c r="I178" s="1"/>
      <c r="O178" s="1"/>
      <c r="P178" s="18"/>
      <c r="Q178" s="18"/>
      <c r="R178" s="18"/>
      <c r="S178" s="18"/>
      <c r="T178" s="18"/>
      <c r="U178" s="18"/>
      <c r="V178" s="18"/>
      <c r="W178" s="18"/>
      <c r="X178" s="18"/>
      <c r="Y178" s="18"/>
      <c r="Z178" s="18"/>
      <c r="AA178" s="18"/>
      <c r="AB178" s="18"/>
      <c r="AC178" s="18"/>
      <c r="AD178" s="18"/>
      <c r="AE178" s="15"/>
      <c r="AF178" s="15"/>
    </row>
    <row r="179" spans="1:32" x14ac:dyDescent="0.25">
      <c r="A179" t="str">
        <f t="shared" ca="1" si="7"/>
        <v>20140825-000179--190001000000@LIBRARY.NASHVILLE.ORG</v>
      </c>
      <c r="B179" s="15" t="str">
        <f t="shared" si="9"/>
        <v/>
      </c>
      <c r="C179" s="15"/>
      <c r="D179" s="16" t="str">
        <f t="shared" si="8"/>
        <v/>
      </c>
      <c r="E179" s="21"/>
      <c r="F179" s="7"/>
      <c r="G179" s="19"/>
      <c r="H179" s="17"/>
      <c r="I179" s="1"/>
      <c r="O179" s="1"/>
      <c r="P179" s="18"/>
      <c r="Q179" s="18"/>
      <c r="R179" s="18"/>
      <c r="S179" s="18"/>
      <c r="T179" s="18"/>
      <c r="U179" s="18"/>
      <c r="V179" s="18"/>
      <c r="W179" s="18"/>
      <c r="X179" s="18"/>
      <c r="Y179" s="18"/>
      <c r="Z179" s="18"/>
      <c r="AA179" s="18"/>
      <c r="AB179" s="18"/>
      <c r="AC179" s="18"/>
      <c r="AD179" s="18"/>
      <c r="AE179" s="15"/>
      <c r="AF179" s="15"/>
    </row>
    <row r="180" spans="1:32" x14ac:dyDescent="0.25">
      <c r="A180" t="str">
        <f t="shared" ca="1" si="7"/>
        <v>20140825-000180--190001000000@LIBRARY.NASHVILLE.ORG</v>
      </c>
      <c r="B180" s="15" t="str">
        <f t="shared" si="9"/>
        <v/>
      </c>
      <c r="C180" s="15"/>
      <c r="D180" s="16" t="str">
        <f t="shared" si="8"/>
        <v/>
      </c>
      <c r="E180" s="21"/>
      <c r="F180" s="7"/>
      <c r="G180" s="19"/>
      <c r="H180" s="17"/>
      <c r="I180" s="1"/>
      <c r="O180" s="1"/>
      <c r="P180" s="18"/>
      <c r="Q180" s="18"/>
      <c r="R180" s="18"/>
      <c r="S180" s="18"/>
      <c r="T180" s="18"/>
      <c r="U180" s="18"/>
      <c r="V180" s="18"/>
      <c r="W180" s="18"/>
      <c r="X180" s="18"/>
      <c r="Y180" s="18"/>
      <c r="Z180" s="18"/>
      <c r="AA180" s="18"/>
      <c r="AB180" s="18"/>
      <c r="AC180" s="18"/>
      <c r="AD180" s="18"/>
      <c r="AE180" s="15"/>
      <c r="AF180" s="15"/>
    </row>
    <row r="181" spans="1:32" x14ac:dyDescent="0.25">
      <c r="A181" t="str">
        <f t="shared" ca="1" si="7"/>
        <v>20140825-000181--190001000000@LIBRARY.NASHVILLE.ORG</v>
      </c>
      <c r="B181" s="15" t="str">
        <f t="shared" si="9"/>
        <v/>
      </c>
      <c r="C181" s="15"/>
      <c r="D181" s="16" t="str">
        <f t="shared" si="8"/>
        <v/>
      </c>
      <c r="E181" s="21"/>
      <c r="F181" s="7"/>
      <c r="G181" s="19"/>
      <c r="H181" s="17"/>
      <c r="I181" s="1"/>
      <c r="O181" s="1"/>
      <c r="P181" s="18"/>
      <c r="Q181" s="18"/>
      <c r="R181" s="18"/>
      <c r="S181" s="18"/>
      <c r="T181" s="18"/>
      <c r="U181" s="18"/>
      <c r="V181" s="18"/>
      <c r="W181" s="18"/>
      <c r="X181" s="18"/>
      <c r="Y181" s="18"/>
      <c r="Z181" s="18"/>
      <c r="AA181" s="18"/>
      <c r="AB181" s="18"/>
      <c r="AC181" s="18"/>
      <c r="AD181" s="18"/>
      <c r="AE181" s="15"/>
      <c r="AF181" s="15"/>
    </row>
    <row r="182" spans="1:32" x14ac:dyDescent="0.25">
      <c r="A182" t="str">
        <f t="shared" ca="1" si="7"/>
        <v>20140825-000182--190001000000@LIBRARY.NASHVILLE.ORG</v>
      </c>
      <c r="B182" s="15" t="str">
        <f t="shared" si="9"/>
        <v/>
      </c>
      <c r="C182" s="15"/>
      <c r="D182" s="16" t="str">
        <f t="shared" si="8"/>
        <v/>
      </c>
      <c r="E182" s="21"/>
      <c r="F182" s="7"/>
      <c r="G182" s="19"/>
      <c r="H182" s="17"/>
      <c r="I182" s="1"/>
      <c r="O182" s="1"/>
      <c r="P182" s="18"/>
      <c r="Q182" s="18"/>
      <c r="R182" s="18"/>
      <c r="S182" s="18"/>
      <c r="T182" s="18"/>
      <c r="U182" s="18"/>
      <c r="V182" s="18"/>
      <c r="W182" s="18"/>
      <c r="X182" s="18"/>
      <c r="Y182" s="18"/>
      <c r="Z182" s="18"/>
      <c r="AA182" s="18"/>
      <c r="AB182" s="18"/>
      <c r="AC182" s="18"/>
      <c r="AD182" s="18"/>
      <c r="AE182" s="15"/>
      <c r="AF182" s="15"/>
    </row>
    <row r="183" spans="1:32" x14ac:dyDescent="0.25">
      <c r="A183" t="str">
        <f t="shared" ca="1" si="7"/>
        <v>20140825-000183--190001000000@LIBRARY.NASHVILLE.ORG</v>
      </c>
      <c r="B183" s="15" t="str">
        <f t="shared" si="9"/>
        <v/>
      </c>
      <c r="C183" s="15"/>
      <c r="D183" s="16" t="str">
        <f t="shared" si="8"/>
        <v/>
      </c>
      <c r="E183" s="21"/>
      <c r="F183" s="7"/>
      <c r="G183" s="19"/>
      <c r="H183" s="17"/>
      <c r="I183" s="1"/>
      <c r="O183" s="1"/>
      <c r="P183" s="18"/>
      <c r="Q183" s="18"/>
      <c r="R183" s="18"/>
      <c r="S183" s="18"/>
      <c r="T183" s="18"/>
      <c r="U183" s="18"/>
      <c r="V183" s="18"/>
      <c r="W183" s="18"/>
      <c r="X183" s="18"/>
      <c r="Y183" s="18"/>
      <c r="Z183" s="18"/>
      <c r="AA183" s="18"/>
      <c r="AB183" s="18"/>
      <c r="AC183" s="18"/>
      <c r="AD183" s="18"/>
      <c r="AE183" s="15"/>
      <c r="AF183" s="15"/>
    </row>
    <row r="184" spans="1:32" x14ac:dyDescent="0.25">
      <c r="A184" t="str">
        <f t="shared" ca="1" si="7"/>
        <v>20140825-000184--190001000000@LIBRARY.NASHVILLE.ORG</v>
      </c>
      <c r="B184" s="15" t="str">
        <f t="shared" si="9"/>
        <v/>
      </c>
      <c r="C184" s="15"/>
      <c r="D184" s="16" t="str">
        <f t="shared" si="8"/>
        <v/>
      </c>
      <c r="E184" s="21"/>
      <c r="F184" s="7"/>
      <c r="G184" s="19"/>
      <c r="H184" s="17"/>
      <c r="I184" s="1"/>
      <c r="O184" s="1"/>
      <c r="P184" s="18"/>
      <c r="Q184" s="18"/>
      <c r="R184" s="18"/>
      <c r="S184" s="18"/>
      <c r="T184" s="18"/>
      <c r="U184" s="18"/>
      <c r="V184" s="18"/>
      <c r="W184" s="18"/>
      <c r="X184" s="18"/>
      <c r="Y184" s="18"/>
      <c r="Z184" s="18"/>
      <c r="AA184" s="18"/>
      <c r="AB184" s="18"/>
      <c r="AC184" s="18"/>
      <c r="AD184" s="18"/>
      <c r="AE184" s="15"/>
      <c r="AF184" s="15"/>
    </row>
    <row r="185" spans="1:32" x14ac:dyDescent="0.25">
      <c r="A185" t="str">
        <f t="shared" ca="1" si="7"/>
        <v>20140825-000185--190001000000@LIBRARY.NASHVILLE.ORG</v>
      </c>
      <c r="B185" s="15" t="str">
        <f t="shared" si="9"/>
        <v/>
      </c>
      <c r="C185" s="15"/>
      <c r="D185" s="16" t="str">
        <f t="shared" si="8"/>
        <v/>
      </c>
      <c r="E185" s="21"/>
      <c r="F185" s="7"/>
      <c r="G185" s="19"/>
      <c r="H185" s="17"/>
      <c r="I185" s="1"/>
      <c r="O185" s="1"/>
      <c r="P185" s="18"/>
      <c r="Q185" s="18"/>
      <c r="R185" s="18"/>
      <c r="S185" s="18"/>
      <c r="T185" s="18"/>
      <c r="U185" s="18"/>
      <c r="V185" s="18"/>
      <c r="W185" s="18"/>
      <c r="X185" s="18"/>
      <c r="Y185" s="18"/>
      <c r="Z185" s="18"/>
      <c r="AA185" s="18"/>
      <c r="AB185" s="18"/>
      <c r="AC185" s="18"/>
      <c r="AD185" s="18"/>
      <c r="AE185" s="15"/>
      <c r="AF185" s="15"/>
    </row>
    <row r="186" spans="1:32" x14ac:dyDescent="0.25">
      <c r="A186" t="str">
        <f t="shared" ca="1" si="7"/>
        <v>20140825-000186--190001000000@LIBRARY.NASHVILLE.ORG</v>
      </c>
      <c r="B186" s="15" t="str">
        <f t="shared" si="9"/>
        <v/>
      </c>
      <c r="C186" s="15"/>
      <c r="D186" s="16" t="str">
        <f t="shared" si="8"/>
        <v/>
      </c>
      <c r="E186" s="21"/>
      <c r="F186" s="7"/>
      <c r="G186" s="19"/>
      <c r="H186" s="17"/>
      <c r="I186" s="1"/>
      <c r="O186" s="1"/>
      <c r="P186" s="18"/>
      <c r="Q186" s="18"/>
      <c r="R186" s="18"/>
      <c r="S186" s="18"/>
      <c r="T186" s="18"/>
      <c r="U186" s="18"/>
      <c r="V186" s="18"/>
      <c r="W186" s="18"/>
      <c r="X186" s="18"/>
      <c r="Y186" s="18"/>
      <c r="Z186" s="18"/>
      <c r="AA186" s="18"/>
      <c r="AB186" s="18"/>
      <c r="AC186" s="18"/>
      <c r="AD186" s="18"/>
      <c r="AE186" s="15"/>
      <c r="AF186" s="15"/>
    </row>
    <row r="187" spans="1:32" x14ac:dyDescent="0.25">
      <c r="A187" t="str">
        <f t="shared" ca="1" si="7"/>
        <v>20140825-000187--190001000000@LIBRARY.NASHVILLE.ORG</v>
      </c>
      <c r="B187" s="15" t="str">
        <f t="shared" si="9"/>
        <v/>
      </c>
      <c r="C187" s="15"/>
      <c r="D187" s="16" t="str">
        <f t="shared" si="8"/>
        <v/>
      </c>
      <c r="E187" s="21"/>
      <c r="F187" s="7"/>
      <c r="G187" s="19"/>
      <c r="H187" s="17"/>
      <c r="I187" s="1"/>
      <c r="O187" s="1"/>
      <c r="P187" s="18"/>
      <c r="Q187" s="18"/>
      <c r="R187" s="18"/>
      <c r="S187" s="18"/>
      <c r="T187" s="18"/>
      <c r="U187" s="18"/>
      <c r="V187" s="18"/>
      <c r="W187" s="18"/>
      <c r="X187" s="18"/>
      <c r="Y187" s="18"/>
      <c r="Z187" s="18"/>
      <c r="AA187" s="18"/>
      <c r="AB187" s="18"/>
      <c r="AC187" s="18"/>
      <c r="AD187" s="18"/>
      <c r="AE187" s="15"/>
      <c r="AF187" s="15"/>
    </row>
    <row r="188" spans="1:32" x14ac:dyDescent="0.25">
      <c r="A188" t="str">
        <f t="shared" ca="1" si="7"/>
        <v>20140825-000188--190001000000@LIBRARY.NASHVILLE.ORG</v>
      </c>
      <c r="B188" s="15" t="str">
        <f t="shared" si="9"/>
        <v/>
      </c>
      <c r="C188" s="15"/>
      <c r="D188" s="16" t="str">
        <f t="shared" si="8"/>
        <v/>
      </c>
      <c r="E188" s="21"/>
      <c r="F188" s="7"/>
      <c r="G188" s="19"/>
      <c r="H188" s="17"/>
      <c r="I188" s="1"/>
      <c r="O188" s="1"/>
      <c r="P188" s="18"/>
      <c r="Q188" s="18"/>
      <c r="R188" s="18"/>
      <c r="S188" s="18"/>
      <c r="T188" s="18"/>
      <c r="U188" s="18"/>
      <c r="V188" s="18"/>
      <c r="W188" s="18"/>
      <c r="X188" s="18"/>
      <c r="Y188" s="18"/>
      <c r="Z188" s="18"/>
      <c r="AA188" s="18"/>
      <c r="AB188" s="18"/>
      <c r="AC188" s="18"/>
      <c r="AD188" s="18"/>
      <c r="AE188" s="15"/>
      <c r="AF188" s="15"/>
    </row>
    <row r="189" spans="1:32" x14ac:dyDescent="0.25">
      <c r="A189" t="str">
        <f t="shared" ca="1" si="7"/>
        <v>20140825-000189--190001000000@LIBRARY.NASHVILLE.ORG</v>
      </c>
      <c r="B189" s="15" t="str">
        <f t="shared" si="9"/>
        <v/>
      </c>
      <c r="C189" s="15"/>
      <c r="D189" s="16" t="str">
        <f t="shared" si="8"/>
        <v/>
      </c>
      <c r="E189" s="21"/>
      <c r="F189" s="7"/>
      <c r="G189" s="19"/>
      <c r="H189" s="17"/>
      <c r="I189" s="1"/>
      <c r="O189" s="1"/>
      <c r="P189" s="18"/>
      <c r="Q189" s="18"/>
      <c r="R189" s="18"/>
      <c r="S189" s="18"/>
      <c r="T189" s="18"/>
      <c r="U189" s="18"/>
      <c r="V189" s="18"/>
      <c r="W189" s="18"/>
      <c r="X189" s="18"/>
      <c r="Y189" s="18"/>
      <c r="Z189" s="18"/>
      <c r="AA189" s="18"/>
      <c r="AB189" s="18"/>
      <c r="AC189" s="18"/>
      <c r="AD189" s="18"/>
      <c r="AE189" s="15"/>
      <c r="AF189" s="15"/>
    </row>
    <row r="190" spans="1:32" x14ac:dyDescent="0.25">
      <c r="A190" t="str">
        <f t="shared" ca="1" si="7"/>
        <v>20140825-000190--190001000000@LIBRARY.NASHVILLE.ORG</v>
      </c>
      <c r="B190" s="15" t="str">
        <f t="shared" si="9"/>
        <v/>
      </c>
      <c r="C190" s="15"/>
      <c r="D190" s="16" t="str">
        <f t="shared" si="8"/>
        <v/>
      </c>
      <c r="E190" s="21"/>
      <c r="F190" s="7"/>
      <c r="G190" s="19"/>
      <c r="H190" s="17"/>
      <c r="I190" s="1"/>
      <c r="O190" s="1"/>
      <c r="P190" s="18"/>
      <c r="Q190" s="18"/>
      <c r="R190" s="18"/>
      <c r="S190" s="18"/>
      <c r="T190" s="18"/>
      <c r="U190" s="18"/>
      <c r="V190" s="18"/>
      <c r="W190" s="18"/>
      <c r="X190" s="18"/>
      <c r="Y190" s="18"/>
      <c r="Z190" s="18"/>
      <c r="AA190" s="18"/>
      <c r="AB190" s="18"/>
      <c r="AC190" s="18"/>
      <c r="AD190" s="18"/>
      <c r="AE190" s="15"/>
      <c r="AF190" s="15"/>
    </row>
    <row r="191" spans="1:32" x14ac:dyDescent="0.25">
      <c r="A191" t="str">
        <f t="shared" ca="1" si="7"/>
        <v>20140825-000191--190001000000@LIBRARY.NASHVILLE.ORG</v>
      </c>
      <c r="B191" s="15" t="str">
        <f t="shared" si="9"/>
        <v/>
      </c>
      <c r="C191" s="15"/>
      <c r="D191" s="16" t="str">
        <f t="shared" si="8"/>
        <v/>
      </c>
      <c r="E191" s="21"/>
      <c r="F191" s="7"/>
      <c r="G191" s="19"/>
      <c r="H191" s="17"/>
      <c r="I191" s="1"/>
      <c r="O191" s="1"/>
      <c r="P191" s="18"/>
      <c r="Q191" s="18"/>
      <c r="R191" s="18"/>
      <c r="S191" s="18"/>
      <c r="T191" s="18"/>
      <c r="U191" s="18"/>
      <c r="V191" s="18"/>
      <c r="W191" s="18"/>
      <c r="X191" s="18"/>
      <c r="Y191" s="18"/>
      <c r="Z191" s="18"/>
      <c r="AA191" s="18"/>
      <c r="AB191" s="18"/>
      <c r="AC191" s="18"/>
      <c r="AD191" s="18"/>
      <c r="AE191" s="15"/>
      <c r="AF191" s="15"/>
    </row>
    <row r="192" spans="1:32" x14ac:dyDescent="0.25">
      <c r="A192" t="str">
        <f t="shared" ca="1" si="7"/>
        <v>20140825-000192--190001000000@LIBRARY.NASHVILLE.ORG</v>
      </c>
      <c r="B192" s="15" t="str">
        <f t="shared" si="9"/>
        <v/>
      </c>
      <c r="C192" s="15"/>
      <c r="D192" s="16" t="str">
        <f t="shared" si="8"/>
        <v/>
      </c>
      <c r="E192" s="21"/>
      <c r="F192" s="7"/>
      <c r="G192" s="19"/>
      <c r="H192" s="17"/>
      <c r="I192" s="1"/>
      <c r="O192" s="1"/>
      <c r="P192" s="18"/>
      <c r="Q192" s="18"/>
      <c r="R192" s="18"/>
      <c r="S192" s="18"/>
      <c r="T192" s="18"/>
      <c r="U192" s="18"/>
      <c r="V192" s="18"/>
      <c r="W192" s="18"/>
      <c r="X192" s="18"/>
      <c r="Y192" s="18"/>
      <c r="Z192" s="18"/>
      <c r="AA192" s="18"/>
      <c r="AB192" s="18"/>
      <c r="AC192" s="18"/>
      <c r="AD192" s="18"/>
      <c r="AE192" s="15"/>
      <c r="AF192" s="15"/>
    </row>
    <row r="193" spans="1:32" x14ac:dyDescent="0.25">
      <c r="A193" t="str">
        <f t="shared" ca="1" si="7"/>
        <v>20140825-000193--190001000000@LIBRARY.NASHVILLE.ORG</v>
      </c>
      <c r="B193" s="15" t="str">
        <f t="shared" si="9"/>
        <v/>
      </c>
      <c r="C193" s="15"/>
      <c r="D193" s="16" t="str">
        <f t="shared" si="8"/>
        <v/>
      </c>
      <c r="E193" s="21"/>
      <c r="F193" s="7"/>
      <c r="G193" s="19"/>
      <c r="H193" s="17"/>
      <c r="I193" s="1"/>
      <c r="O193" s="1"/>
      <c r="P193" s="18"/>
      <c r="Q193" s="18"/>
      <c r="R193" s="18"/>
      <c r="S193" s="18"/>
      <c r="T193" s="18"/>
      <c r="U193" s="18"/>
      <c r="V193" s="18"/>
      <c r="W193" s="18"/>
      <c r="X193" s="18"/>
      <c r="Y193" s="18"/>
      <c r="Z193" s="18"/>
      <c r="AA193" s="18"/>
      <c r="AB193" s="18"/>
      <c r="AC193" s="18"/>
      <c r="AD193" s="18"/>
      <c r="AE193" s="15"/>
      <c r="AF193" s="15"/>
    </row>
    <row r="194" spans="1:32" x14ac:dyDescent="0.25">
      <c r="A194" t="str">
        <f t="shared" ref="A194:A257" ca="1" si="10">UPPER(CONCATENATE(TEXT(TODAY(),"yyyymmdd"),"-",TEXT(ROW(),"000000"),"-",SUBSTITUTE(B194," ",""),"-",TEXT(C194,"yyyymmdd"),TEXT(E194,"hhmm"),"@library.nashville.org"))</f>
        <v>20140825-000194--190001000000@LIBRARY.NASHVILLE.ORG</v>
      </c>
      <c r="B194" s="15" t="str">
        <f t="shared" si="9"/>
        <v/>
      </c>
      <c r="C194" s="15"/>
      <c r="D194" s="16" t="str">
        <f t="shared" si="8"/>
        <v/>
      </c>
      <c r="E194" s="21"/>
      <c r="F194" s="7"/>
      <c r="G194" s="19"/>
      <c r="H194" s="17"/>
      <c r="I194" s="1"/>
      <c r="O194" s="1"/>
      <c r="P194" s="18"/>
      <c r="Q194" s="18"/>
      <c r="R194" s="18"/>
      <c r="S194" s="18"/>
      <c r="T194" s="18"/>
      <c r="U194" s="18"/>
      <c r="V194" s="18"/>
      <c r="W194" s="18"/>
      <c r="X194" s="18"/>
      <c r="Y194" s="18"/>
      <c r="Z194" s="18"/>
      <c r="AA194" s="18"/>
      <c r="AB194" s="18"/>
      <c r="AC194" s="18"/>
      <c r="AD194" s="18"/>
      <c r="AE194" s="15"/>
      <c r="AF194" s="15"/>
    </row>
    <row r="195" spans="1:32" x14ac:dyDescent="0.25">
      <c r="A195" t="str">
        <f t="shared" ca="1" si="10"/>
        <v>20140825-000195--190001000000@LIBRARY.NASHVILLE.ORG</v>
      </c>
      <c r="B195" s="15" t="str">
        <f t="shared" si="9"/>
        <v/>
      </c>
      <c r="C195" s="15"/>
      <c r="D195" s="16" t="str">
        <f t="shared" ref="D195:D258" si="11">IF(C195=0,"",TEXT($C195,"dddd"))</f>
        <v/>
      </c>
      <c r="E195" s="21"/>
      <c r="F195" s="7"/>
      <c r="G195" s="19"/>
      <c r="H195" s="17"/>
      <c r="I195" s="1"/>
      <c r="O195" s="1"/>
      <c r="P195" s="18"/>
      <c r="Q195" s="18"/>
      <c r="R195" s="18"/>
      <c r="S195" s="18"/>
      <c r="T195" s="18"/>
      <c r="U195" s="18"/>
      <c r="V195" s="18"/>
      <c r="W195" s="18"/>
      <c r="X195" s="18"/>
      <c r="Y195" s="18"/>
      <c r="Z195" s="18"/>
      <c r="AA195" s="18"/>
      <c r="AB195" s="18"/>
      <c r="AC195" s="18"/>
      <c r="AD195" s="18"/>
      <c r="AE195" s="15"/>
      <c r="AF195" s="15"/>
    </row>
    <row r="196" spans="1:32" x14ac:dyDescent="0.25">
      <c r="A196" t="str">
        <f t="shared" ca="1" si="10"/>
        <v>20140825-000196--190001000000@LIBRARY.NASHVILLE.ORG</v>
      </c>
      <c r="B196" s="15" t="str">
        <f t="shared" si="9"/>
        <v/>
      </c>
      <c r="C196" s="15"/>
      <c r="D196" s="16" t="str">
        <f t="shared" si="11"/>
        <v/>
      </c>
      <c r="E196" s="21"/>
      <c r="F196" s="7"/>
      <c r="G196" s="19"/>
      <c r="H196" s="17"/>
      <c r="I196" s="1"/>
      <c r="O196" s="1"/>
      <c r="P196" s="18"/>
      <c r="Q196" s="18"/>
      <c r="R196" s="18"/>
      <c r="S196" s="18"/>
      <c r="T196" s="18"/>
      <c r="U196" s="18"/>
      <c r="V196" s="18"/>
      <c r="W196" s="18"/>
      <c r="X196" s="18"/>
      <c r="Y196" s="18"/>
      <c r="Z196" s="18"/>
      <c r="AA196" s="18"/>
      <c r="AB196" s="18"/>
      <c r="AC196" s="18"/>
      <c r="AD196" s="18"/>
      <c r="AE196" s="15"/>
      <c r="AF196" s="15"/>
    </row>
    <row r="197" spans="1:32" x14ac:dyDescent="0.25">
      <c r="A197" t="str">
        <f t="shared" ca="1" si="10"/>
        <v>20140825-000197--190001000000@LIBRARY.NASHVILLE.ORG</v>
      </c>
      <c r="B197" s="15" t="str">
        <f t="shared" si="9"/>
        <v/>
      </c>
      <c r="C197" s="15"/>
      <c r="D197" s="16" t="str">
        <f t="shared" si="11"/>
        <v/>
      </c>
      <c r="E197" s="21"/>
      <c r="F197" s="7"/>
      <c r="G197" s="19"/>
      <c r="H197" s="17"/>
      <c r="I197" s="1"/>
      <c r="O197" s="1"/>
      <c r="P197" s="18"/>
      <c r="Q197" s="18"/>
      <c r="R197" s="18"/>
      <c r="S197" s="18"/>
      <c r="T197" s="18"/>
      <c r="U197" s="18"/>
      <c r="V197" s="18"/>
      <c r="W197" s="18"/>
      <c r="X197" s="18"/>
      <c r="Y197" s="18"/>
      <c r="Z197" s="18"/>
      <c r="AA197" s="18"/>
      <c r="AB197" s="18"/>
      <c r="AC197" s="18"/>
      <c r="AD197" s="18"/>
      <c r="AE197" s="15"/>
      <c r="AF197" s="15"/>
    </row>
    <row r="198" spans="1:32" x14ac:dyDescent="0.25">
      <c r="A198" t="str">
        <f t="shared" ca="1" si="10"/>
        <v>20140825-000198--190001000000@LIBRARY.NASHVILLE.ORG</v>
      </c>
      <c r="B198" s="15" t="str">
        <f t="shared" si="9"/>
        <v/>
      </c>
      <c r="C198" s="15"/>
      <c r="D198" s="16" t="str">
        <f t="shared" si="11"/>
        <v/>
      </c>
      <c r="E198" s="21"/>
      <c r="F198" s="7"/>
      <c r="G198" s="19"/>
      <c r="H198" s="17"/>
      <c r="I198" s="1"/>
      <c r="O198" s="1"/>
      <c r="P198" s="18"/>
      <c r="Q198" s="18"/>
      <c r="R198" s="18"/>
      <c r="S198" s="18"/>
      <c r="T198" s="18"/>
      <c r="U198" s="18"/>
      <c r="V198" s="18"/>
      <c r="W198" s="18"/>
      <c r="X198" s="18"/>
      <c r="Y198" s="18"/>
      <c r="Z198" s="18"/>
      <c r="AA198" s="18"/>
      <c r="AB198" s="18"/>
      <c r="AC198" s="18"/>
      <c r="AD198" s="18"/>
      <c r="AE198" s="15"/>
      <c r="AF198" s="15"/>
    </row>
    <row r="199" spans="1:32" x14ac:dyDescent="0.25">
      <c r="A199" t="str">
        <f t="shared" ca="1" si="10"/>
        <v>20140825-000199--190001000000@LIBRARY.NASHVILLE.ORG</v>
      </c>
      <c r="B199" s="15" t="str">
        <f t="shared" si="9"/>
        <v/>
      </c>
      <c r="C199" s="15"/>
      <c r="D199" s="16" t="str">
        <f t="shared" si="11"/>
        <v/>
      </c>
      <c r="E199" s="21"/>
      <c r="F199" s="7"/>
      <c r="G199" s="19"/>
      <c r="H199" s="17"/>
      <c r="I199" s="1"/>
      <c r="O199" s="1"/>
      <c r="P199" s="18"/>
      <c r="Q199" s="18"/>
      <c r="R199" s="18"/>
      <c r="S199" s="18"/>
      <c r="T199" s="18"/>
      <c r="U199" s="18"/>
      <c r="V199" s="18"/>
      <c r="W199" s="18"/>
      <c r="X199" s="18"/>
      <c r="Y199" s="18"/>
      <c r="Z199" s="18"/>
      <c r="AA199" s="18"/>
      <c r="AB199" s="18"/>
      <c r="AC199" s="18"/>
      <c r="AD199" s="18"/>
      <c r="AE199" s="15"/>
      <c r="AF199" s="15"/>
    </row>
    <row r="200" spans="1:32" x14ac:dyDescent="0.25">
      <c r="A200" t="str">
        <f t="shared" ca="1" si="10"/>
        <v>20140825-000200--190001000000@LIBRARY.NASHVILLE.ORG</v>
      </c>
      <c r="B200" s="15" t="str">
        <f t="shared" si="9"/>
        <v/>
      </c>
      <c r="C200" s="15"/>
      <c r="D200" s="16" t="str">
        <f t="shared" si="11"/>
        <v/>
      </c>
      <c r="E200" s="21"/>
      <c r="F200" s="7"/>
      <c r="G200" s="19"/>
      <c r="H200" s="17"/>
      <c r="I200" s="1"/>
      <c r="O200" s="1"/>
      <c r="P200" s="18"/>
      <c r="Q200" s="18"/>
      <c r="R200" s="18"/>
      <c r="S200" s="18"/>
      <c r="T200" s="18"/>
      <c r="U200" s="18"/>
      <c r="V200" s="18"/>
      <c r="W200" s="18"/>
      <c r="X200" s="18"/>
      <c r="Y200" s="18"/>
      <c r="Z200" s="18"/>
      <c r="AA200" s="18"/>
      <c r="AB200" s="18"/>
      <c r="AC200" s="18"/>
      <c r="AD200" s="18"/>
      <c r="AE200" s="15"/>
      <c r="AF200" s="15"/>
    </row>
    <row r="201" spans="1:32" x14ac:dyDescent="0.25">
      <c r="A201" t="str">
        <f t="shared" ca="1" si="10"/>
        <v>20140825-000201--190001000000@LIBRARY.NASHVILLE.ORG</v>
      </c>
      <c r="B201" s="15" t="str">
        <f t="shared" si="9"/>
        <v/>
      </c>
      <c r="C201" s="15"/>
      <c r="D201" s="16" t="str">
        <f t="shared" si="11"/>
        <v/>
      </c>
      <c r="E201" s="21"/>
      <c r="F201" s="7"/>
      <c r="G201" s="19"/>
      <c r="H201" s="17"/>
      <c r="I201" s="1"/>
      <c r="N201" s="1"/>
      <c r="O201" s="1"/>
      <c r="P201" s="18"/>
      <c r="Q201" s="18"/>
      <c r="R201" s="18"/>
      <c r="S201" s="18"/>
      <c r="T201" s="18"/>
      <c r="U201" s="18"/>
      <c r="V201" s="18"/>
      <c r="W201" s="18"/>
      <c r="X201" s="18"/>
      <c r="Y201" s="18"/>
      <c r="Z201" s="18"/>
      <c r="AA201" s="18"/>
      <c r="AB201" s="18"/>
      <c r="AC201" s="18"/>
      <c r="AD201" s="18"/>
      <c r="AE201" s="15"/>
      <c r="AF201" s="15"/>
    </row>
    <row r="202" spans="1:32" x14ac:dyDescent="0.25">
      <c r="A202" t="str">
        <f t="shared" ca="1" si="10"/>
        <v>20140825-000202--190001000000@LIBRARY.NASHVILLE.ORG</v>
      </c>
      <c r="B202" s="15" t="str">
        <f t="shared" si="9"/>
        <v/>
      </c>
      <c r="C202" s="15"/>
      <c r="D202" s="16" t="str">
        <f t="shared" si="11"/>
        <v/>
      </c>
      <c r="E202" s="21"/>
      <c r="F202" s="7"/>
      <c r="G202" s="19"/>
      <c r="H202" s="17"/>
      <c r="I202" s="1"/>
      <c r="N202" s="1"/>
      <c r="O202" s="1"/>
      <c r="P202" s="18"/>
      <c r="Q202" s="18"/>
      <c r="R202" s="18"/>
      <c r="S202" s="18"/>
      <c r="T202" s="18"/>
      <c r="U202" s="18"/>
      <c r="V202" s="18"/>
      <c r="W202" s="18"/>
      <c r="X202" s="18"/>
      <c r="Y202" s="18"/>
      <c r="Z202" s="18"/>
      <c r="AA202" s="18"/>
      <c r="AB202" s="18"/>
      <c r="AC202" s="18"/>
      <c r="AD202" s="18"/>
      <c r="AE202" s="15"/>
      <c r="AF202" s="15"/>
    </row>
    <row r="203" spans="1:32" x14ac:dyDescent="0.25">
      <c r="A203" t="str">
        <f t="shared" ca="1" si="10"/>
        <v>20140825-000203--190001000000@LIBRARY.NASHVILLE.ORG</v>
      </c>
      <c r="B203" s="15" t="str">
        <f t="shared" si="9"/>
        <v/>
      </c>
      <c r="C203" s="15"/>
      <c r="D203" s="16" t="str">
        <f t="shared" si="11"/>
        <v/>
      </c>
      <c r="E203" s="21"/>
      <c r="F203" s="7"/>
      <c r="G203" s="19"/>
      <c r="H203" s="17"/>
      <c r="I203" s="1"/>
      <c r="N203" s="1"/>
      <c r="O203" s="1"/>
      <c r="P203" s="18"/>
      <c r="Q203" s="18"/>
      <c r="R203" s="18"/>
      <c r="S203" s="18"/>
      <c r="T203" s="18"/>
      <c r="U203" s="18"/>
      <c r="V203" s="18"/>
      <c r="W203" s="18"/>
      <c r="X203" s="18"/>
      <c r="Y203" s="18"/>
      <c r="Z203" s="18"/>
      <c r="AA203" s="18"/>
      <c r="AB203" s="18"/>
      <c r="AC203" s="18"/>
      <c r="AD203" s="18"/>
      <c r="AE203" s="15"/>
      <c r="AF203" s="15"/>
    </row>
    <row r="204" spans="1:32" x14ac:dyDescent="0.25">
      <c r="A204" t="str">
        <f t="shared" ca="1" si="10"/>
        <v>20140825-000204--190001000000@LIBRARY.NASHVILLE.ORG</v>
      </c>
      <c r="B204" s="15" t="str">
        <f t="shared" si="9"/>
        <v/>
      </c>
      <c r="C204" s="15"/>
      <c r="D204" s="16" t="str">
        <f t="shared" si="11"/>
        <v/>
      </c>
      <c r="E204" s="21"/>
      <c r="F204" s="7"/>
      <c r="G204" s="19"/>
      <c r="H204" s="17"/>
      <c r="I204" s="1"/>
      <c r="N204" s="1"/>
      <c r="O204" s="1"/>
      <c r="P204" s="18"/>
      <c r="Q204" s="18"/>
      <c r="R204" s="18"/>
      <c r="S204" s="18"/>
      <c r="T204" s="18"/>
      <c r="U204" s="18"/>
      <c r="V204" s="18"/>
      <c r="W204" s="18"/>
      <c r="X204" s="18"/>
      <c r="Y204" s="18"/>
      <c r="Z204" s="18"/>
      <c r="AA204" s="18"/>
      <c r="AB204" s="18"/>
      <c r="AC204" s="18"/>
      <c r="AD204" s="18"/>
      <c r="AE204" s="15"/>
      <c r="AF204" s="15"/>
    </row>
    <row r="205" spans="1:32" x14ac:dyDescent="0.25">
      <c r="A205" t="str">
        <f t="shared" ca="1" si="10"/>
        <v>20140825-000205--190001000000@LIBRARY.NASHVILLE.ORG</v>
      </c>
      <c r="B205" s="15" t="str">
        <f t="shared" ref="B205:B268" si="12">IF($B$2=0,"",TEXT($B$2,""))</f>
        <v/>
      </c>
      <c r="C205" s="15"/>
      <c r="D205" s="16" t="str">
        <f t="shared" si="11"/>
        <v/>
      </c>
      <c r="E205" s="21"/>
      <c r="F205" s="7"/>
      <c r="G205" s="19"/>
      <c r="H205" s="17"/>
      <c r="I205" s="1"/>
      <c r="N205" s="1"/>
      <c r="O205" s="1"/>
      <c r="P205" s="18"/>
      <c r="Q205" s="18"/>
      <c r="R205" s="18"/>
      <c r="S205" s="18"/>
      <c r="T205" s="18"/>
      <c r="U205" s="18"/>
      <c r="V205" s="18"/>
      <c r="W205" s="18"/>
      <c r="X205" s="18"/>
      <c r="Y205" s="18"/>
      <c r="Z205" s="18"/>
      <c r="AA205" s="18"/>
      <c r="AB205" s="18"/>
      <c r="AC205" s="18"/>
      <c r="AD205" s="18"/>
      <c r="AE205" s="15"/>
      <c r="AF205" s="15"/>
    </row>
    <row r="206" spans="1:32" x14ac:dyDescent="0.25">
      <c r="A206" t="str">
        <f t="shared" ca="1" si="10"/>
        <v>20140825-000206--190001000000@LIBRARY.NASHVILLE.ORG</v>
      </c>
      <c r="B206" s="15" t="str">
        <f t="shared" si="12"/>
        <v/>
      </c>
      <c r="C206" s="15"/>
      <c r="D206" s="16" t="str">
        <f t="shared" si="11"/>
        <v/>
      </c>
      <c r="E206" s="21"/>
      <c r="F206" s="7"/>
      <c r="G206" s="19"/>
      <c r="H206" s="17"/>
      <c r="I206" s="1"/>
      <c r="N206" s="1"/>
      <c r="O206" s="1"/>
      <c r="P206" s="18"/>
      <c r="Q206" s="18"/>
      <c r="R206" s="18"/>
      <c r="S206" s="18"/>
      <c r="T206" s="18"/>
      <c r="U206" s="18"/>
      <c r="V206" s="18"/>
      <c r="W206" s="18"/>
      <c r="X206" s="18"/>
      <c r="Y206" s="18"/>
      <c r="Z206" s="18"/>
      <c r="AA206" s="18"/>
      <c r="AB206" s="18"/>
      <c r="AC206" s="18"/>
      <c r="AD206" s="18"/>
      <c r="AE206" s="15"/>
      <c r="AF206" s="15"/>
    </row>
    <row r="207" spans="1:32" x14ac:dyDescent="0.25">
      <c r="A207" t="str">
        <f t="shared" ca="1" si="10"/>
        <v>20140825-000207--190001000000@LIBRARY.NASHVILLE.ORG</v>
      </c>
      <c r="B207" s="15" t="str">
        <f t="shared" si="12"/>
        <v/>
      </c>
      <c r="C207" s="15"/>
      <c r="D207" s="16" t="str">
        <f t="shared" si="11"/>
        <v/>
      </c>
      <c r="E207" s="21"/>
      <c r="F207" s="7"/>
      <c r="G207" s="19"/>
      <c r="H207" s="17"/>
      <c r="I207" s="1"/>
      <c r="N207" s="1"/>
      <c r="O207" s="1"/>
      <c r="P207" s="18"/>
      <c r="Q207" s="18"/>
      <c r="R207" s="18"/>
      <c r="S207" s="18"/>
      <c r="T207" s="18"/>
      <c r="U207" s="18"/>
      <c r="V207" s="18"/>
      <c r="W207" s="18"/>
      <c r="X207" s="18"/>
      <c r="Y207" s="18"/>
      <c r="Z207" s="18"/>
      <c r="AA207" s="18"/>
      <c r="AB207" s="18"/>
      <c r="AC207" s="18"/>
      <c r="AD207" s="18"/>
      <c r="AE207" s="15"/>
      <c r="AF207" s="15"/>
    </row>
    <row r="208" spans="1:32" x14ac:dyDescent="0.25">
      <c r="A208" t="str">
        <f t="shared" ca="1" si="10"/>
        <v>20140825-000208--190001000000@LIBRARY.NASHVILLE.ORG</v>
      </c>
      <c r="B208" s="15" t="str">
        <f t="shared" si="12"/>
        <v/>
      </c>
      <c r="C208" s="15"/>
      <c r="D208" s="16" t="str">
        <f t="shared" si="11"/>
        <v/>
      </c>
      <c r="E208" s="21"/>
      <c r="F208" s="7"/>
      <c r="G208" s="19"/>
      <c r="H208" s="17"/>
      <c r="I208" s="1"/>
      <c r="N208" s="1"/>
      <c r="O208" s="1"/>
      <c r="P208" s="18"/>
      <c r="Q208" s="18"/>
      <c r="R208" s="18"/>
      <c r="S208" s="18"/>
      <c r="T208" s="18"/>
      <c r="U208" s="18"/>
      <c r="V208" s="18"/>
      <c r="W208" s="18"/>
      <c r="X208" s="18"/>
      <c r="Y208" s="18"/>
      <c r="Z208" s="18"/>
      <c r="AA208" s="18"/>
      <c r="AB208" s="18"/>
      <c r="AC208" s="18"/>
      <c r="AD208" s="18"/>
      <c r="AE208" s="15"/>
      <c r="AF208" s="15"/>
    </row>
    <row r="209" spans="1:32" x14ac:dyDescent="0.25">
      <c r="A209" t="str">
        <f t="shared" ca="1" si="10"/>
        <v>20140825-000209--190001000000@LIBRARY.NASHVILLE.ORG</v>
      </c>
      <c r="B209" s="15" t="str">
        <f t="shared" si="12"/>
        <v/>
      </c>
      <c r="C209" s="15"/>
      <c r="D209" s="16" t="str">
        <f t="shared" si="11"/>
        <v/>
      </c>
      <c r="E209" s="21"/>
      <c r="F209" s="7"/>
      <c r="G209" s="19"/>
      <c r="H209" s="17"/>
      <c r="I209" s="1"/>
      <c r="N209" s="1"/>
      <c r="O209" s="1"/>
      <c r="P209" s="18"/>
      <c r="Q209" s="18"/>
      <c r="R209" s="18"/>
      <c r="S209" s="18"/>
      <c r="T209" s="18"/>
      <c r="U209" s="18"/>
      <c r="V209" s="18"/>
      <c r="W209" s="18"/>
      <c r="X209" s="18"/>
      <c r="Y209" s="18"/>
      <c r="Z209" s="18"/>
      <c r="AA209" s="18"/>
      <c r="AB209" s="18"/>
      <c r="AC209" s="18"/>
      <c r="AD209" s="18"/>
      <c r="AE209" s="15"/>
      <c r="AF209" s="15"/>
    </row>
    <row r="210" spans="1:32" x14ac:dyDescent="0.25">
      <c r="A210" t="str">
        <f t="shared" ca="1" si="10"/>
        <v>20140825-000210--190001000000@LIBRARY.NASHVILLE.ORG</v>
      </c>
      <c r="B210" s="15" t="str">
        <f t="shared" si="12"/>
        <v/>
      </c>
      <c r="C210" s="15"/>
      <c r="D210" s="16" t="str">
        <f t="shared" si="11"/>
        <v/>
      </c>
      <c r="E210" s="21"/>
      <c r="F210" s="7"/>
      <c r="G210" s="19"/>
      <c r="H210" s="17"/>
      <c r="I210" s="1"/>
      <c r="N210" s="1"/>
      <c r="O210" s="1"/>
      <c r="P210" s="18"/>
      <c r="Q210" s="18"/>
      <c r="R210" s="18"/>
      <c r="S210" s="18"/>
      <c r="T210" s="18"/>
      <c r="U210" s="18"/>
      <c r="V210" s="18"/>
      <c r="W210" s="18"/>
      <c r="X210" s="18"/>
      <c r="Y210" s="18"/>
      <c r="Z210" s="18"/>
      <c r="AA210" s="18"/>
      <c r="AB210" s="18"/>
      <c r="AC210" s="18"/>
      <c r="AD210" s="18"/>
      <c r="AE210" s="15"/>
      <c r="AF210" s="15"/>
    </row>
    <row r="211" spans="1:32" x14ac:dyDescent="0.25">
      <c r="A211" t="str">
        <f t="shared" ca="1" si="10"/>
        <v>20140825-000211--190001000000@LIBRARY.NASHVILLE.ORG</v>
      </c>
      <c r="B211" s="15" t="str">
        <f t="shared" si="12"/>
        <v/>
      </c>
      <c r="C211" s="15"/>
      <c r="D211" s="16" t="str">
        <f t="shared" si="11"/>
        <v/>
      </c>
      <c r="E211" s="21"/>
      <c r="F211" s="7"/>
      <c r="G211" s="19"/>
      <c r="H211" s="17"/>
      <c r="I211" s="1"/>
      <c r="N211" s="1"/>
      <c r="O211" s="1"/>
      <c r="P211" s="18"/>
      <c r="Q211" s="18"/>
      <c r="R211" s="18"/>
      <c r="S211" s="18"/>
      <c r="T211" s="18"/>
      <c r="U211" s="18"/>
      <c r="V211" s="18"/>
      <c r="W211" s="18"/>
      <c r="X211" s="18"/>
      <c r="Y211" s="18"/>
      <c r="Z211" s="18"/>
      <c r="AA211" s="18"/>
      <c r="AB211" s="18"/>
      <c r="AC211" s="18"/>
      <c r="AD211" s="18"/>
      <c r="AE211" s="15"/>
      <c r="AF211" s="15"/>
    </row>
    <row r="212" spans="1:32" x14ac:dyDescent="0.25">
      <c r="A212" t="str">
        <f t="shared" ca="1" si="10"/>
        <v>20140825-000212--190001000000@LIBRARY.NASHVILLE.ORG</v>
      </c>
      <c r="B212" s="15" t="str">
        <f t="shared" si="12"/>
        <v/>
      </c>
      <c r="C212" s="15"/>
      <c r="D212" s="16" t="str">
        <f t="shared" si="11"/>
        <v/>
      </c>
      <c r="E212" s="21"/>
      <c r="F212" s="7"/>
      <c r="G212" s="19"/>
      <c r="H212" s="17"/>
      <c r="I212" s="1"/>
      <c r="N212" s="1"/>
      <c r="O212" s="1"/>
      <c r="P212" s="18"/>
      <c r="Q212" s="18"/>
      <c r="R212" s="18"/>
      <c r="S212" s="18"/>
      <c r="T212" s="18"/>
      <c r="U212" s="18"/>
      <c r="V212" s="18"/>
      <c r="W212" s="18"/>
      <c r="X212" s="18"/>
      <c r="Y212" s="18"/>
      <c r="Z212" s="18"/>
      <c r="AA212" s="18"/>
      <c r="AB212" s="18"/>
      <c r="AC212" s="18"/>
      <c r="AD212" s="18"/>
      <c r="AE212" s="15"/>
      <c r="AF212" s="15"/>
    </row>
    <row r="213" spans="1:32" x14ac:dyDescent="0.25">
      <c r="A213" t="str">
        <f t="shared" ca="1" si="10"/>
        <v>20140825-000213--190001000000@LIBRARY.NASHVILLE.ORG</v>
      </c>
      <c r="B213" s="15" t="str">
        <f t="shared" si="12"/>
        <v/>
      </c>
      <c r="C213" s="15"/>
      <c r="D213" s="16" t="str">
        <f t="shared" si="11"/>
        <v/>
      </c>
      <c r="E213" s="21"/>
      <c r="F213" s="7"/>
      <c r="G213" s="19"/>
      <c r="H213" s="17"/>
      <c r="I213" s="1"/>
      <c r="N213" s="1"/>
      <c r="O213" s="1"/>
      <c r="P213" s="18"/>
      <c r="Q213" s="18"/>
      <c r="R213" s="18"/>
      <c r="S213" s="18"/>
      <c r="T213" s="18"/>
      <c r="U213" s="18"/>
      <c r="V213" s="18"/>
      <c r="W213" s="18"/>
      <c r="X213" s="18"/>
      <c r="Y213" s="18"/>
      <c r="Z213" s="18"/>
      <c r="AA213" s="18"/>
      <c r="AB213" s="18"/>
      <c r="AC213" s="18"/>
      <c r="AD213" s="18"/>
      <c r="AE213" s="15"/>
      <c r="AF213" s="15"/>
    </row>
    <row r="214" spans="1:32" x14ac:dyDescent="0.25">
      <c r="A214" t="str">
        <f t="shared" ca="1" si="10"/>
        <v>20140825-000214--190001000000@LIBRARY.NASHVILLE.ORG</v>
      </c>
      <c r="B214" s="15" t="str">
        <f t="shared" si="12"/>
        <v/>
      </c>
      <c r="C214" s="15"/>
      <c r="D214" s="16" t="str">
        <f t="shared" si="11"/>
        <v/>
      </c>
      <c r="E214" s="21"/>
      <c r="F214" s="7"/>
      <c r="G214" s="19"/>
      <c r="H214" s="17"/>
      <c r="I214" s="1"/>
      <c r="N214" s="1"/>
      <c r="O214" s="1"/>
      <c r="P214" s="18"/>
      <c r="Q214" s="18"/>
      <c r="R214" s="18"/>
      <c r="S214" s="18"/>
      <c r="T214" s="18"/>
      <c r="U214" s="18"/>
      <c r="V214" s="18"/>
      <c r="W214" s="18"/>
      <c r="X214" s="18"/>
      <c r="Y214" s="18"/>
      <c r="Z214" s="18"/>
      <c r="AA214" s="18"/>
      <c r="AB214" s="18"/>
      <c r="AC214" s="18"/>
      <c r="AD214" s="18"/>
      <c r="AE214" s="15"/>
      <c r="AF214" s="15"/>
    </row>
    <row r="215" spans="1:32" x14ac:dyDescent="0.25">
      <c r="A215" t="str">
        <f t="shared" ca="1" si="10"/>
        <v>20140825-000215--190001000000@LIBRARY.NASHVILLE.ORG</v>
      </c>
      <c r="B215" s="15" t="str">
        <f t="shared" si="12"/>
        <v/>
      </c>
      <c r="C215" s="15"/>
      <c r="D215" s="16" t="str">
        <f t="shared" si="11"/>
        <v/>
      </c>
      <c r="E215" s="21"/>
      <c r="F215" s="7"/>
      <c r="G215" s="19"/>
      <c r="H215" s="17"/>
      <c r="I215" s="1"/>
      <c r="N215" s="1"/>
      <c r="O215" s="1"/>
      <c r="P215" s="18"/>
      <c r="Q215" s="18"/>
      <c r="R215" s="18"/>
      <c r="S215" s="18"/>
      <c r="T215" s="18"/>
      <c r="U215" s="18"/>
      <c r="V215" s="18"/>
      <c r="W215" s="18"/>
      <c r="X215" s="18"/>
      <c r="Y215" s="18"/>
      <c r="Z215" s="18"/>
      <c r="AA215" s="18"/>
      <c r="AB215" s="18"/>
      <c r="AC215" s="18"/>
      <c r="AD215" s="18"/>
      <c r="AE215" s="15"/>
      <c r="AF215" s="15"/>
    </row>
    <row r="216" spans="1:32" x14ac:dyDescent="0.25">
      <c r="A216" t="str">
        <f t="shared" ca="1" si="10"/>
        <v>20140825-000216--190001000000@LIBRARY.NASHVILLE.ORG</v>
      </c>
      <c r="B216" s="15" t="str">
        <f t="shared" si="12"/>
        <v/>
      </c>
      <c r="C216" s="15"/>
      <c r="D216" s="16" t="str">
        <f t="shared" si="11"/>
        <v/>
      </c>
      <c r="E216" s="21"/>
      <c r="F216" s="7"/>
      <c r="G216" s="19"/>
      <c r="H216" s="17"/>
      <c r="I216" s="1"/>
      <c r="N216" s="1"/>
      <c r="O216" s="1"/>
      <c r="P216" s="18"/>
      <c r="Q216" s="18"/>
      <c r="R216" s="18"/>
      <c r="S216" s="18"/>
      <c r="T216" s="18"/>
      <c r="U216" s="18"/>
      <c r="V216" s="18"/>
      <c r="W216" s="18"/>
      <c r="X216" s="18"/>
      <c r="Y216" s="18"/>
      <c r="Z216" s="18"/>
      <c r="AA216" s="18"/>
      <c r="AB216" s="18"/>
      <c r="AC216" s="18"/>
      <c r="AD216" s="18"/>
      <c r="AE216" s="15"/>
      <c r="AF216" s="15"/>
    </row>
    <row r="217" spans="1:32" x14ac:dyDescent="0.25">
      <c r="A217" t="str">
        <f t="shared" ca="1" si="10"/>
        <v>20140825-000217--190001000000@LIBRARY.NASHVILLE.ORG</v>
      </c>
      <c r="B217" s="15" t="str">
        <f t="shared" si="12"/>
        <v/>
      </c>
      <c r="C217" s="15"/>
      <c r="D217" s="16" t="str">
        <f t="shared" si="11"/>
        <v/>
      </c>
      <c r="E217" s="21"/>
      <c r="F217" s="7"/>
      <c r="G217" s="19"/>
      <c r="H217" s="17"/>
      <c r="I217" s="1"/>
      <c r="N217" s="1"/>
      <c r="O217" s="1"/>
      <c r="P217" s="18"/>
      <c r="Q217" s="18"/>
      <c r="R217" s="18"/>
      <c r="S217" s="18"/>
      <c r="T217" s="18"/>
      <c r="U217" s="18"/>
      <c r="V217" s="18"/>
      <c r="W217" s="18"/>
      <c r="X217" s="18"/>
      <c r="Y217" s="18"/>
      <c r="Z217" s="18"/>
      <c r="AA217" s="18"/>
      <c r="AB217" s="18"/>
      <c r="AC217" s="18"/>
      <c r="AD217" s="18"/>
      <c r="AE217" s="15"/>
      <c r="AF217" s="15"/>
    </row>
    <row r="218" spans="1:32" x14ac:dyDescent="0.25">
      <c r="A218" t="str">
        <f t="shared" ca="1" si="10"/>
        <v>20140825-000218--190001000000@LIBRARY.NASHVILLE.ORG</v>
      </c>
      <c r="B218" s="15" t="str">
        <f t="shared" si="12"/>
        <v/>
      </c>
      <c r="C218" s="15"/>
      <c r="D218" s="16" t="str">
        <f t="shared" si="11"/>
        <v/>
      </c>
      <c r="E218" s="21"/>
      <c r="F218" s="7"/>
      <c r="G218" s="19"/>
      <c r="H218" s="17"/>
      <c r="I218" s="1"/>
      <c r="N218" s="1"/>
      <c r="O218" s="1"/>
      <c r="P218" s="18"/>
      <c r="Q218" s="18"/>
      <c r="R218" s="18"/>
      <c r="S218" s="18"/>
      <c r="T218" s="18"/>
      <c r="U218" s="18"/>
      <c r="V218" s="18"/>
      <c r="W218" s="18"/>
      <c r="X218" s="18"/>
      <c r="Y218" s="18"/>
      <c r="Z218" s="18"/>
      <c r="AA218" s="18"/>
      <c r="AB218" s="18"/>
      <c r="AC218" s="18"/>
      <c r="AD218" s="18"/>
      <c r="AE218" s="15"/>
      <c r="AF218" s="15"/>
    </row>
    <row r="219" spans="1:32" x14ac:dyDescent="0.25">
      <c r="A219" t="str">
        <f t="shared" ca="1" si="10"/>
        <v>20140825-000219--190001000000@LIBRARY.NASHVILLE.ORG</v>
      </c>
      <c r="B219" s="15" t="str">
        <f t="shared" si="12"/>
        <v/>
      </c>
      <c r="C219" s="15"/>
      <c r="D219" s="16" t="str">
        <f t="shared" si="11"/>
        <v/>
      </c>
      <c r="E219" s="21"/>
      <c r="F219" s="7"/>
      <c r="G219" s="19"/>
      <c r="H219" s="17"/>
      <c r="I219" s="1"/>
      <c r="N219" s="1"/>
      <c r="O219" s="1"/>
      <c r="P219" s="18"/>
      <c r="Q219" s="18"/>
      <c r="R219" s="18"/>
      <c r="S219" s="18"/>
      <c r="T219" s="18"/>
      <c r="U219" s="18"/>
      <c r="V219" s="18"/>
      <c r="W219" s="18"/>
      <c r="X219" s="18"/>
      <c r="Y219" s="18"/>
      <c r="Z219" s="18"/>
      <c r="AA219" s="18"/>
      <c r="AB219" s="18"/>
      <c r="AC219" s="18"/>
      <c r="AD219" s="18"/>
      <c r="AE219" s="15"/>
      <c r="AF219" s="15"/>
    </row>
    <row r="220" spans="1:32" x14ac:dyDescent="0.25">
      <c r="A220" t="str">
        <f t="shared" ca="1" si="10"/>
        <v>20140825-000220--190001000000@LIBRARY.NASHVILLE.ORG</v>
      </c>
      <c r="B220" s="15" t="str">
        <f t="shared" si="12"/>
        <v/>
      </c>
      <c r="C220" s="15"/>
      <c r="D220" s="16" t="str">
        <f t="shared" si="11"/>
        <v/>
      </c>
      <c r="E220" s="21"/>
      <c r="F220" s="7"/>
      <c r="G220" s="19"/>
      <c r="H220" s="17"/>
      <c r="I220" s="1"/>
      <c r="N220" s="1"/>
      <c r="O220" s="1"/>
      <c r="P220" s="18"/>
      <c r="Q220" s="18"/>
      <c r="R220" s="18"/>
      <c r="S220" s="18"/>
      <c r="T220" s="18"/>
      <c r="U220" s="18"/>
      <c r="V220" s="18"/>
      <c r="W220" s="18"/>
      <c r="X220" s="18"/>
      <c r="Y220" s="18"/>
      <c r="Z220" s="18"/>
      <c r="AA220" s="18"/>
      <c r="AB220" s="18"/>
      <c r="AC220" s="18"/>
      <c r="AD220" s="18"/>
      <c r="AE220" s="15"/>
      <c r="AF220" s="15"/>
    </row>
    <row r="221" spans="1:32" x14ac:dyDescent="0.25">
      <c r="A221" t="str">
        <f t="shared" ca="1" si="10"/>
        <v>20140825-000221--190001000000@LIBRARY.NASHVILLE.ORG</v>
      </c>
      <c r="B221" s="15" t="str">
        <f t="shared" si="12"/>
        <v/>
      </c>
      <c r="C221" s="15"/>
      <c r="D221" s="16" t="str">
        <f t="shared" si="11"/>
        <v/>
      </c>
      <c r="E221" s="21"/>
      <c r="F221" s="7"/>
      <c r="G221" s="19"/>
      <c r="H221" s="17"/>
      <c r="I221" s="1"/>
      <c r="N221" s="1"/>
      <c r="O221" s="1"/>
      <c r="P221" s="18"/>
      <c r="Q221" s="18"/>
      <c r="R221" s="18"/>
      <c r="S221" s="18"/>
      <c r="T221" s="18"/>
      <c r="U221" s="18"/>
      <c r="V221" s="18"/>
      <c r="W221" s="18"/>
      <c r="X221" s="18"/>
      <c r="Y221" s="18"/>
      <c r="Z221" s="18"/>
      <c r="AA221" s="18"/>
      <c r="AB221" s="18"/>
      <c r="AC221" s="18"/>
      <c r="AD221" s="18"/>
      <c r="AE221" s="15"/>
      <c r="AF221" s="15"/>
    </row>
    <row r="222" spans="1:32" x14ac:dyDescent="0.25">
      <c r="A222" t="str">
        <f t="shared" ca="1" si="10"/>
        <v>20140825-000222--190001000000@LIBRARY.NASHVILLE.ORG</v>
      </c>
      <c r="B222" s="15" t="str">
        <f t="shared" si="12"/>
        <v/>
      </c>
      <c r="C222" s="15"/>
      <c r="D222" s="16" t="str">
        <f t="shared" si="11"/>
        <v/>
      </c>
      <c r="E222" s="21"/>
      <c r="F222" s="7"/>
      <c r="G222" s="19"/>
      <c r="H222" s="17"/>
      <c r="I222" s="1"/>
      <c r="N222" s="1"/>
      <c r="O222" s="1"/>
      <c r="P222" s="18"/>
      <c r="Q222" s="18"/>
      <c r="R222" s="18"/>
      <c r="S222" s="18"/>
      <c r="T222" s="18"/>
      <c r="U222" s="18"/>
      <c r="V222" s="18"/>
      <c r="W222" s="18"/>
      <c r="X222" s="18"/>
      <c r="Y222" s="18"/>
      <c r="Z222" s="18"/>
      <c r="AA222" s="18"/>
      <c r="AB222" s="18"/>
      <c r="AC222" s="18"/>
      <c r="AD222" s="18"/>
      <c r="AE222" s="15"/>
      <c r="AF222" s="15"/>
    </row>
    <row r="223" spans="1:32" x14ac:dyDescent="0.25">
      <c r="A223" t="str">
        <f t="shared" ca="1" si="10"/>
        <v>20140825-000223--190001000000@LIBRARY.NASHVILLE.ORG</v>
      </c>
      <c r="B223" s="15" t="str">
        <f t="shared" si="12"/>
        <v/>
      </c>
      <c r="C223" s="15"/>
      <c r="D223" s="16" t="str">
        <f t="shared" si="11"/>
        <v/>
      </c>
      <c r="E223" s="21"/>
      <c r="F223" s="7"/>
      <c r="G223" s="19"/>
      <c r="H223" s="17"/>
      <c r="I223" s="1"/>
      <c r="N223" s="1"/>
      <c r="O223" s="1"/>
      <c r="P223" s="18"/>
      <c r="Q223" s="18"/>
      <c r="R223" s="18"/>
      <c r="S223" s="18"/>
      <c r="T223" s="18"/>
      <c r="U223" s="18"/>
      <c r="V223" s="18"/>
      <c r="W223" s="18"/>
      <c r="X223" s="18"/>
      <c r="Y223" s="18"/>
      <c r="Z223" s="18"/>
      <c r="AA223" s="18"/>
      <c r="AB223" s="18"/>
      <c r="AC223" s="18"/>
      <c r="AD223" s="18"/>
      <c r="AE223" s="15"/>
      <c r="AF223" s="15"/>
    </row>
    <row r="224" spans="1:32" x14ac:dyDescent="0.25">
      <c r="A224" t="str">
        <f t="shared" ca="1" si="10"/>
        <v>20140825-000224--190001000000@LIBRARY.NASHVILLE.ORG</v>
      </c>
      <c r="B224" s="15" t="str">
        <f t="shared" si="12"/>
        <v/>
      </c>
      <c r="C224" s="15"/>
      <c r="D224" s="16" t="str">
        <f t="shared" si="11"/>
        <v/>
      </c>
      <c r="E224" s="21"/>
      <c r="F224" s="7"/>
      <c r="G224" s="19"/>
      <c r="H224" s="17"/>
      <c r="I224" s="1"/>
      <c r="N224" s="1"/>
      <c r="O224" s="1"/>
      <c r="P224" s="18"/>
      <c r="Q224" s="18"/>
      <c r="R224" s="18"/>
      <c r="S224" s="18"/>
      <c r="T224" s="18"/>
      <c r="U224" s="18"/>
      <c r="V224" s="18"/>
      <c r="W224" s="18"/>
      <c r="X224" s="18"/>
      <c r="Y224" s="18"/>
      <c r="Z224" s="18"/>
      <c r="AA224" s="18"/>
      <c r="AB224" s="18"/>
      <c r="AC224" s="18"/>
      <c r="AD224" s="18"/>
      <c r="AE224" s="15"/>
      <c r="AF224" s="15"/>
    </row>
    <row r="225" spans="1:32" x14ac:dyDescent="0.25">
      <c r="A225" t="str">
        <f t="shared" ca="1" si="10"/>
        <v>20140825-000225--190001000000@LIBRARY.NASHVILLE.ORG</v>
      </c>
      <c r="B225" s="15" t="str">
        <f t="shared" si="12"/>
        <v/>
      </c>
      <c r="C225" s="15"/>
      <c r="D225" s="16" t="str">
        <f t="shared" si="11"/>
        <v/>
      </c>
      <c r="E225" s="21"/>
      <c r="F225" s="7"/>
      <c r="G225" s="19"/>
      <c r="H225" s="17"/>
      <c r="I225" s="1"/>
      <c r="N225" s="1"/>
      <c r="O225" s="1"/>
      <c r="P225" s="18"/>
      <c r="Q225" s="18"/>
      <c r="R225" s="18"/>
      <c r="S225" s="18"/>
      <c r="T225" s="18"/>
      <c r="U225" s="18"/>
      <c r="V225" s="18"/>
      <c r="W225" s="18"/>
      <c r="X225" s="18"/>
      <c r="Y225" s="18"/>
      <c r="Z225" s="18"/>
      <c r="AA225" s="18"/>
      <c r="AB225" s="18"/>
      <c r="AC225" s="18"/>
      <c r="AD225" s="18"/>
      <c r="AE225" s="15"/>
      <c r="AF225" s="15"/>
    </row>
    <row r="226" spans="1:32" x14ac:dyDescent="0.25">
      <c r="A226" t="str">
        <f t="shared" ca="1" si="10"/>
        <v>20140825-000226--190001000000@LIBRARY.NASHVILLE.ORG</v>
      </c>
      <c r="B226" s="15" t="str">
        <f t="shared" si="12"/>
        <v/>
      </c>
      <c r="C226" s="15"/>
      <c r="D226" s="16" t="str">
        <f t="shared" si="11"/>
        <v/>
      </c>
      <c r="E226" s="21"/>
      <c r="F226" s="7"/>
      <c r="G226" s="19"/>
      <c r="H226" s="17"/>
      <c r="I226" s="1"/>
      <c r="N226" s="1"/>
      <c r="O226" s="1"/>
      <c r="P226" s="18"/>
      <c r="Q226" s="18"/>
      <c r="R226" s="18"/>
      <c r="S226" s="18"/>
      <c r="T226" s="18"/>
      <c r="U226" s="18"/>
      <c r="V226" s="18"/>
      <c r="W226" s="18"/>
      <c r="X226" s="18"/>
      <c r="Y226" s="18"/>
      <c r="Z226" s="18"/>
      <c r="AA226" s="18"/>
      <c r="AB226" s="18"/>
      <c r="AC226" s="18"/>
      <c r="AD226" s="18"/>
      <c r="AE226" s="15"/>
      <c r="AF226" s="15"/>
    </row>
    <row r="227" spans="1:32" x14ac:dyDescent="0.25">
      <c r="A227" t="str">
        <f t="shared" ca="1" si="10"/>
        <v>20140825-000227--190001000000@LIBRARY.NASHVILLE.ORG</v>
      </c>
      <c r="B227" s="15" t="str">
        <f t="shared" si="12"/>
        <v/>
      </c>
      <c r="C227" s="15"/>
      <c r="D227" s="16" t="str">
        <f t="shared" si="11"/>
        <v/>
      </c>
      <c r="E227" s="21"/>
      <c r="F227" s="7"/>
      <c r="G227" s="19"/>
      <c r="H227" s="17"/>
      <c r="I227" s="1"/>
      <c r="N227" s="1"/>
      <c r="O227" s="1"/>
      <c r="P227" s="18"/>
      <c r="Q227" s="18"/>
      <c r="R227" s="18"/>
      <c r="S227" s="18"/>
      <c r="T227" s="18"/>
      <c r="U227" s="18"/>
      <c r="V227" s="18"/>
      <c r="W227" s="18"/>
      <c r="X227" s="18"/>
      <c r="Y227" s="18"/>
      <c r="Z227" s="18"/>
      <c r="AA227" s="18"/>
      <c r="AB227" s="18"/>
      <c r="AC227" s="18"/>
      <c r="AD227" s="18"/>
      <c r="AE227" s="15"/>
      <c r="AF227" s="15"/>
    </row>
    <row r="228" spans="1:32" x14ac:dyDescent="0.25">
      <c r="A228" t="str">
        <f t="shared" ca="1" si="10"/>
        <v>20140825-000228--190001000000@LIBRARY.NASHVILLE.ORG</v>
      </c>
      <c r="B228" s="15" t="str">
        <f t="shared" si="12"/>
        <v/>
      </c>
      <c r="C228" s="15"/>
      <c r="D228" s="16" t="str">
        <f t="shared" si="11"/>
        <v/>
      </c>
      <c r="E228" s="21"/>
      <c r="F228" s="7"/>
      <c r="G228" s="19"/>
      <c r="H228" s="17"/>
      <c r="I228" s="1"/>
      <c r="N228" s="1"/>
      <c r="O228" s="1"/>
      <c r="P228" s="18"/>
      <c r="Q228" s="18"/>
      <c r="R228" s="18"/>
      <c r="S228" s="18"/>
      <c r="T228" s="18"/>
      <c r="U228" s="18"/>
      <c r="V228" s="18"/>
      <c r="W228" s="18"/>
      <c r="X228" s="18"/>
      <c r="Y228" s="18"/>
      <c r="Z228" s="18"/>
      <c r="AA228" s="18"/>
      <c r="AB228" s="18"/>
      <c r="AC228" s="18"/>
      <c r="AD228" s="18"/>
      <c r="AE228" s="15"/>
      <c r="AF228" s="15"/>
    </row>
    <row r="229" spans="1:32" x14ac:dyDescent="0.25">
      <c r="A229" t="str">
        <f t="shared" ca="1" si="10"/>
        <v>20140825-000229--190001000000@LIBRARY.NASHVILLE.ORG</v>
      </c>
      <c r="B229" s="15" t="str">
        <f t="shared" si="12"/>
        <v/>
      </c>
      <c r="C229" s="15"/>
      <c r="D229" s="16" t="str">
        <f t="shared" si="11"/>
        <v/>
      </c>
      <c r="E229" s="21"/>
      <c r="F229" s="7"/>
      <c r="G229" s="19"/>
      <c r="H229" s="17"/>
      <c r="I229" s="1"/>
      <c r="N229" s="1"/>
      <c r="O229" s="1"/>
      <c r="P229" s="18"/>
      <c r="Q229" s="18"/>
      <c r="R229" s="18"/>
      <c r="S229" s="18"/>
      <c r="T229" s="18"/>
      <c r="U229" s="18"/>
      <c r="V229" s="18"/>
      <c r="W229" s="18"/>
      <c r="X229" s="18"/>
      <c r="Y229" s="18"/>
      <c r="Z229" s="18"/>
      <c r="AA229" s="18"/>
      <c r="AB229" s="18"/>
      <c r="AC229" s="18"/>
      <c r="AD229" s="18"/>
      <c r="AE229" s="15"/>
      <c r="AF229" s="15"/>
    </row>
    <row r="230" spans="1:32" x14ac:dyDescent="0.25">
      <c r="A230" t="str">
        <f t="shared" ca="1" si="10"/>
        <v>20140825-000230--190001000000@LIBRARY.NASHVILLE.ORG</v>
      </c>
      <c r="B230" s="15" t="str">
        <f t="shared" si="12"/>
        <v/>
      </c>
      <c r="C230" s="15"/>
      <c r="D230" s="16" t="str">
        <f t="shared" si="11"/>
        <v/>
      </c>
      <c r="E230" s="21"/>
      <c r="F230" s="7"/>
      <c r="G230" s="19"/>
      <c r="H230" s="17"/>
      <c r="I230" s="1"/>
      <c r="N230" s="1"/>
      <c r="O230" s="1"/>
      <c r="P230" s="18"/>
      <c r="Q230" s="18"/>
      <c r="R230" s="18"/>
      <c r="S230" s="18"/>
      <c r="T230" s="18"/>
      <c r="U230" s="18"/>
      <c r="V230" s="18"/>
      <c r="W230" s="18"/>
      <c r="X230" s="18"/>
      <c r="Y230" s="18"/>
      <c r="Z230" s="18"/>
      <c r="AA230" s="18"/>
      <c r="AB230" s="18"/>
      <c r="AC230" s="18"/>
      <c r="AD230" s="18"/>
      <c r="AE230" s="15"/>
      <c r="AF230" s="15"/>
    </row>
    <row r="231" spans="1:32" x14ac:dyDescent="0.25">
      <c r="A231" t="str">
        <f t="shared" ca="1" si="10"/>
        <v>20140825-000231--190001000000@LIBRARY.NASHVILLE.ORG</v>
      </c>
      <c r="B231" s="15" t="str">
        <f t="shared" si="12"/>
        <v/>
      </c>
      <c r="C231" s="15"/>
      <c r="D231" s="16" t="str">
        <f t="shared" si="11"/>
        <v/>
      </c>
      <c r="E231" s="21"/>
      <c r="F231" s="7"/>
      <c r="G231" s="19"/>
      <c r="H231" s="17"/>
      <c r="I231" s="1"/>
      <c r="N231" s="1"/>
      <c r="O231" s="1"/>
      <c r="P231" s="18"/>
      <c r="Q231" s="18"/>
      <c r="R231" s="18"/>
      <c r="S231" s="18"/>
      <c r="T231" s="18"/>
      <c r="U231" s="18"/>
      <c r="V231" s="18"/>
      <c r="W231" s="18"/>
      <c r="X231" s="18"/>
      <c r="Y231" s="18"/>
      <c r="Z231" s="18"/>
      <c r="AA231" s="18"/>
      <c r="AB231" s="18"/>
      <c r="AC231" s="18"/>
      <c r="AD231" s="18"/>
      <c r="AE231" s="15"/>
      <c r="AF231" s="15"/>
    </row>
    <row r="232" spans="1:32" x14ac:dyDescent="0.25">
      <c r="A232" t="str">
        <f t="shared" ca="1" si="10"/>
        <v>20140825-000232--190001000000@LIBRARY.NASHVILLE.ORG</v>
      </c>
      <c r="B232" s="15" t="str">
        <f t="shared" si="12"/>
        <v/>
      </c>
      <c r="C232" s="15"/>
      <c r="D232" s="16" t="str">
        <f t="shared" si="11"/>
        <v/>
      </c>
      <c r="E232" s="21"/>
      <c r="F232" s="7"/>
      <c r="G232" s="19"/>
      <c r="H232" s="17"/>
      <c r="I232" s="1"/>
      <c r="N232" s="1"/>
      <c r="O232" s="1"/>
      <c r="P232" s="18"/>
      <c r="Q232" s="18"/>
      <c r="R232" s="18"/>
      <c r="S232" s="18"/>
      <c r="T232" s="18"/>
      <c r="U232" s="18"/>
      <c r="V232" s="18"/>
      <c r="W232" s="18"/>
      <c r="X232" s="18"/>
      <c r="Y232" s="18"/>
      <c r="Z232" s="18"/>
      <c r="AA232" s="18"/>
      <c r="AB232" s="18"/>
      <c r="AC232" s="18"/>
      <c r="AD232" s="18"/>
      <c r="AE232" s="15"/>
      <c r="AF232" s="15"/>
    </row>
    <row r="233" spans="1:32" x14ac:dyDescent="0.25">
      <c r="A233" t="str">
        <f t="shared" ca="1" si="10"/>
        <v>20140825-000233--190001000000@LIBRARY.NASHVILLE.ORG</v>
      </c>
      <c r="B233" s="15" t="str">
        <f t="shared" si="12"/>
        <v/>
      </c>
      <c r="C233" s="15"/>
      <c r="D233" s="16" t="str">
        <f t="shared" si="11"/>
        <v/>
      </c>
      <c r="E233" s="21"/>
      <c r="F233" s="7"/>
      <c r="G233" s="19"/>
      <c r="H233" s="17"/>
      <c r="I233" s="1"/>
      <c r="N233" s="1"/>
      <c r="O233" s="1"/>
      <c r="P233" s="18"/>
      <c r="Q233" s="18"/>
      <c r="R233" s="18"/>
      <c r="S233" s="18"/>
      <c r="T233" s="18"/>
      <c r="U233" s="18"/>
      <c r="V233" s="18"/>
      <c r="W233" s="18"/>
      <c r="X233" s="18"/>
      <c r="Y233" s="18"/>
      <c r="Z233" s="18"/>
      <c r="AA233" s="18"/>
      <c r="AB233" s="18"/>
      <c r="AC233" s="18"/>
      <c r="AD233" s="18"/>
      <c r="AE233" s="15"/>
      <c r="AF233" s="15"/>
    </row>
    <row r="234" spans="1:32" x14ac:dyDescent="0.25">
      <c r="A234" t="str">
        <f t="shared" ca="1" si="10"/>
        <v>20140825-000234--190001000000@LIBRARY.NASHVILLE.ORG</v>
      </c>
      <c r="B234" s="15" t="str">
        <f t="shared" si="12"/>
        <v/>
      </c>
      <c r="C234" s="15"/>
      <c r="D234" s="16" t="str">
        <f t="shared" si="11"/>
        <v/>
      </c>
      <c r="E234" s="21"/>
      <c r="F234" s="7"/>
      <c r="G234" s="19"/>
      <c r="H234" s="17"/>
      <c r="I234" s="1"/>
      <c r="N234" s="1"/>
      <c r="O234" s="1"/>
      <c r="P234" s="18"/>
      <c r="Q234" s="18"/>
      <c r="R234" s="18"/>
      <c r="S234" s="18"/>
      <c r="T234" s="18"/>
      <c r="U234" s="18"/>
      <c r="V234" s="18"/>
      <c r="W234" s="18"/>
      <c r="X234" s="18"/>
      <c r="Y234" s="18"/>
      <c r="Z234" s="18"/>
      <c r="AA234" s="18"/>
      <c r="AB234" s="18"/>
      <c r="AC234" s="18"/>
      <c r="AD234" s="18"/>
      <c r="AE234" s="15"/>
      <c r="AF234" s="15"/>
    </row>
    <row r="235" spans="1:32" x14ac:dyDescent="0.25">
      <c r="A235" t="str">
        <f t="shared" ca="1" si="10"/>
        <v>20140825-000235--190001000000@LIBRARY.NASHVILLE.ORG</v>
      </c>
      <c r="B235" s="15" t="str">
        <f t="shared" si="12"/>
        <v/>
      </c>
      <c r="C235" s="15"/>
      <c r="D235" s="16" t="str">
        <f t="shared" si="11"/>
        <v/>
      </c>
      <c r="E235" s="21"/>
      <c r="F235" s="7"/>
      <c r="G235" s="19"/>
      <c r="H235" s="17"/>
      <c r="I235" s="1"/>
      <c r="N235" s="1"/>
      <c r="O235" s="1"/>
      <c r="P235" s="18"/>
      <c r="Q235" s="18"/>
      <c r="R235" s="18"/>
      <c r="S235" s="18"/>
      <c r="T235" s="18"/>
      <c r="U235" s="18"/>
      <c r="V235" s="18"/>
      <c r="W235" s="18"/>
      <c r="X235" s="18"/>
      <c r="Y235" s="18"/>
      <c r="Z235" s="18"/>
      <c r="AA235" s="18"/>
      <c r="AB235" s="18"/>
      <c r="AC235" s="18"/>
      <c r="AD235" s="18"/>
      <c r="AE235" s="15"/>
      <c r="AF235" s="15"/>
    </row>
    <row r="236" spans="1:32" x14ac:dyDescent="0.25">
      <c r="A236" t="str">
        <f t="shared" ca="1" si="10"/>
        <v>20140825-000236--190001000000@LIBRARY.NASHVILLE.ORG</v>
      </c>
      <c r="B236" s="15" t="str">
        <f t="shared" si="12"/>
        <v/>
      </c>
      <c r="C236" s="15"/>
      <c r="D236" s="16" t="str">
        <f t="shared" si="11"/>
        <v/>
      </c>
      <c r="E236" s="21"/>
      <c r="F236" s="7"/>
      <c r="G236" s="19"/>
      <c r="H236" s="17"/>
      <c r="I236" s="1"/>
      <c r="N236" s="1"/>
      <c r="O236" s="1"/>
      <c r="P236" s="18"/>
      <c r="Q236" s="18"/>
      <c r="R236" s="18"/>
      <c r="S236" s="18"/>
      <c r="T236" s="18"/>
      <c r="U236" s="18"/>
      <c r="V236" s="18"/>
      <c r="W236" s="18"/>
      <c r="X236" s="18"/>
      <c r="Y236" s="18"/>
      <c r="Z236" s="18"/>
      <c r="AA236" s="18"/>
      <c r="AB236" s="18"/>
      <c r="AC236" s="18"/>
      <c r="AD236" s="18"/>
      <c r="AE236" s="15"/>
      <c r="AF236" s="15"/>
    </row>
    <row r="237" spans="1:32" x14ac:dyDescent="0.25">
      <c r="A237" t="str">
        <f t="shared" ca="1" si="10"/>
        <v>20140825-000237--190001000000@LIBRARY.NASHVILLE.ORG</v>
      </c>
      <c r="B237" s="15" t="str">
        <f t="shared" si="12"/>
        <v/>
      </c>
      <c r="C237" s="15"/>
      <c r="D237" s="16" t="str">
        <f t="shared" si="11"/>
        <v/>
      </c>
      <c r="E237" s="21"/>
      <c r="F237" s="7"/>
      <c r="G237" s="19"/>
      <c r="H237" s="17"/>
      <c r="I237" s="1"/>
      <c r="N237" s="1"/>
      <c r="O237" s="1"/>
      <c r="P237" s="18"/>
      <c r="Q237" s="18"/>
      <c r="R237" s="18"/>
      <c r="S237" s="18"/>
      <c r="T237" s="18"/>
      <c r="U237" s="18"/>
      <c r="V237" s="18"/>
      <c r="W237" s="18"/>
      <c r="X237" s="18"/>
      <c r="Y237" s="18"/>
      <c r="Z237" s="18"/>
      <c r="AA237" s="18"/>
      <c r="AB237" s="18"/>
      <c r="AC237" s="18"/>
      <c r="AD237" s="18"/>
      <c r="AE237" s="15"/>
      <c r="AF237" s="15"/>
    </row>
    <row r="238" spans="1:32" x14ac:dyDescent="0.25">
      <c r="A238" t="str">
        <f t="shared" ca="1" si="10"/>
        <v>20140825-000238--190001000000@LIBRARY.NASHVILLE.ORG</v>
      </c>
      <c r="B238" s="15" t="str">
        <f t="shared" si="12"/>
        <v/>
      </c>
      <c r="C238" s="15"/>
      <c r="D238" s="16" t="str">
        <f t="shared" si="11"/>
        <v/>
      </c>
      <c r="E238" s="21"/>
      <c r="F238" s="7"/>
      <c r="G238" s="19"/>
      <c r="H238" s="17"/>
      <c r="I238" s="1"/>
      <c r="N238" s="1"/>
      <c r="O238" s="1"/>
      <c r="P238" s="18"/>
      <c r="Q238" s="18"/>
      <c r="R238" s="18"/>
      <c r="S238" s="18"/>
      <c r="T238" s="18"/>
      <c r="U238" s="18"/>
      <c r="V238" s="18"/>
      <c r="W238" s="18"/>
      <c r="X238" s="18"/>
      <c r="Y238" s="18"/>
      <c r="Z238" s="18"/>
      <c r="AA238" s="18"/>
      <c r="AB238" s="18"/>
      <c r="AC238" s="18"/>
      <c r="AD238" s="18"/>
      <c r="AE238" s="15"/>
      <c r="AF238" s="15"/>
    </row>
    <row r="239" spans="1:32" x14ac:dyDescent="0.25">
      <c r="A239" t="str">
        <f t="shared" ca="1" si="10"/>
        <v>20140825-000239--190001000000@LIBRARY.NASHVILLE.ORG</v>
      </c>
      <c r="B239" s="15" t="str">
        <f t="shared" si="12"/>
        <v/>
      </c>
      <c r="C239" s="15"/>
      <c r="D239" s="16" t="str">
        <f t="shared" si="11"/>
        <v/>
      </c>
      <c r="E239" s="21"/>
      <c r="F239" s="7"/>
      <c r="G239" s="19"/>
      <c r="H239" s="17"/>
      <c r="I239" s="1"/>
      <c r="N239" s="1"/>
      <c r="O239" s="1"/>
      <c r="P239" s="18"/>
      <c r="Q239" s="18"/>
      <c r="R239" s="18"/>
      <c r="S239" s="18"/>
      <c r="T239" s="18"/>
      <c r="U239" s="18"/>
      <c r="V239" s="18"/>
      <c r="W239" s="18"/>
      <c r="X239" s="18"/>
      <c r="Y239" s="18"/>
      <c r="Z239" s="18"/>
      <c r="AA239" s="18"/>
      <c r="AB239" s="18"/>
      <c r="AC239" s="18"/>
      <c r="AD239" s="18"/>
      <c r="AE239" s="15"/>
      <c r="AF239" s="15"/>
    </row>
    <row r="240" spans="1:32" x14ac:dyDescent="0.25">
      <c r="A240" t="str">
        <f t="shared" ca="1" si="10"/>
        <v>20140825-000240--190001000000@LIBRARY.NASHVILLE.ORG</v>
      </c>
      <c r="B240" s="15" t="str">
        <f t="shared" si="12"/>
        <v/>
      </c>
      <c r="C240" s="15"/>
      <c r="D240" s="16" t="str">
        <f t="shared" si="11"/>
        <v/>
      </c>
      <c r="E240" s="21"/>
      <c r="F240" s="7"/>
      <c r="G240" s="19"/>
      <c r="H240" s="17"/>
      <c r="I240" s="1"/>
      <c r="N240" s="1"/>
      <c r="O240" s="1"/>
      <c r="P240" s="18"/>
      <c r="Q240" s="18"/>
      <c r="R240" s="18"/>
      <c r="S240" s="18"/>
      <c r="T240" s="18"/>
      <c r="U240" s="18"/>
      <c r="V240" s="18"/>
      <c r="W240" s="18"/>
      <c r="X240" s="18"/>
      <c r="Y240" s="18"/>
      <c r="Z240" s="18"/>
      <c r="AA240" s="18"/>
      <c r="AB240" s="18"/>
      <c r="AC240" s="18"/>
      <c r="AD240" s="18"/>
      <c r="AE240" s="15"/>
      <c r="AF240" s="15"/>
    </row>
    <row r="241" spans="1:32" x14ac:dyDescent="0.25">
      <c r="A241" t="str">
        <f t="shared" ca="1" si="10"/>
        <v>20140825-000241--190001000000@LIBRARY.NASHVILLE.ORG</v>
      </c>
      <c r="B241" s="15" t="str">
        <f t="shared" si="12"/>
        <v/>
      </c>
      <c r="C241" s="15"/>
      <c r="D241" s="16" t="str">
        <f t="shared" si="11"/>
        <v/>
      </c>
      <c r="E241" s="21"/>
      <c r="F241" s="7"/>
      <c r="G241" s="19"/>
      <c r="H241" s="17"/>
      <c r="I241" s="1"/>
      <c r="N241" s="1"/>
      <c r="O241" s="1"/>
      <c r="P241" s="18"/>
      <c r="Q241" s="18"/>
      <c r="R241" s="18"/>
      <c r="S241" s="18"/>
      <c r="T241" s="18"/>
      <c r="U241" s="18"/>
      <c r="V241" s="18"/>
      <c r="W241" s="18"/>
      <c r="X241" s="18"/>
      <c r="Y241" s="18"/>
      <c r="Z241" s="18"/>
      <c r="AA241" s="18"/>
      <c r="AB241" s="18"/>
      <c r="AC241" s="18"/>
      <c r="AD241" s="18"/>
      <c r="AE241" s="15"/>
      <c r="AF241" s="15"/>
    </row>
    <row r="242" spans="1:32" x14ac:dyDescent="0.25">
      <c r="A242" t="str">
        <f t="shared" ca="1" si="10"/>
        <v>20140825-000242--190001000000@LIBRARY.NASHVILLE.ORG</v>
      </c>
      <c r="B242" s="15" t="str">
        <f t="shared" si="12"/>
        <v/>
      </c>
      <c r="C242" s="15"/>
      <c r="D242" s="16" t="str">
        <f t="shared" si="11"/>
        <v/>
      </c>
      <c r="E242" s="21"/>
      <c r="F242" s="7"/>
      <c r="G242" s="19"/>
      <c r="H242" s="17"/>
      <c r="I242" s="1"/>
      <c r="N242" s="1"/>
      <c r="O242" s="1"/>
      <c r="P242" s="18"/>
      <c r="Q242" s="18"/>
      <c r="R242" s="18"/>
      <c r="S242" s="18"/>
      <c r="T242" s="18"/>
      <c r="U242" s="18"/>
      <c r="V242" s="18"/>
      <c r="W242" s="18"/>
      <c r="X242" s="18"/>
      <c r="Y242" s="18"/>
      <c r="Z242" s="18"/>
      <c r="AA242" s="18"/>
      <c r="AB242" s="18"/>
      <c r="AC242" s="18"/>
      <c r="AD242" s="18"/>
      <c r="AE242" s="15"/>
      <c r="AF242" s="15"/>
    </row>
    <row r="243" spans="1:32" x14ac:dyDescent="0.25">
      <c r="A243" t="str">
        <f t="shared" ca="1" si="10"/>
        <v>20140825-000243--190001000000@LIBRARY.NASHVILLE.ORG</v>
      </c>
      <c r="B243" s="15" t="str">
        <f t="shared" si="12"/>
        <v/>
      </c>
      <c r="C243" s="15"/>
      <c r="D243" s="16" t="str">
        <f t="shared" si="11"/>
        <v/>
      </c>
      <c r="E243" s="21"/>
      <c r="F243" s="7"/>
      <c r="G243" s="19"/>
      <c r="H243" s="17"/>
      <c r="I243" s="1"/>
      <c r="N243" s="1"/>
      <c r="O243" s="1"/>
      <c r="P243" s="18"/>
      <c r="Q243" s="18"/>
      <c r="R243" s="18"/>
      <c r="S243" s="18"/>
      <c r="T243" s="18"/>
      <c r="U243" s="18"/>
      <c r="V243" s="18"/>
      <c r="W243" s="18"/>
      <c r="X243" s="18"/>
      <c r="Y243" s="18"/>
      <c r="Z243" s="18"/>
      <c r="AA243" s="18"/>
      <c r="AB243" s="18"/>
      <c r="AC243" s="18"/>
      <c r="AD243" s="18"/>
      <c r="AE243" s="15"/>
      <c r="AF243" s="15"/>
    </row>
    <row r="244" spans="1:32" x14ac:dyDescent="0.25">
      <c r="A244" t="str">
        <f t="shared" ca="1" si="10"/>
        <v>20140825-000244--190001000000@LIBRARY.NASHVILLE.ORG</v>
      </c>
      <c r="B244" s="15" t="str">
        <f t="shared" si="12"/>
        <v/>
      </c>
      <c r="C244" s="15"/>
      <c r="D244" s="16" t="str">
        <f t="shared" si="11"/>
        <v/>
      </c>
      <c r="E244" s="21"/>
      <c r="F244" s="7"/>
      <c r="G244" s="19"/>
      <c r="H244" s="17"/>
      <c r="I244" s="1"/>
      <c r="N244" s="1"/>
      <c r="O244" s="1"/>
      <c r="P244" s="18"/>
      <c r="Q244" s="18"/>
      <c r="R244" s="18"/>
      <c r="S244" s="18"/>
      <c r="T244" s="18"/>
      <c r="U244" s="18"/>
      <c r="V244" s="18"/>
      <c r="W244" s="18"/>
      <c r="X244" s="18"/>
      <c r="Y244" s="18"/>
      <c r="Z244" s="18"/>
      <c r="AA244" s="18"/>
      <c r="AB244" s="18"/>
      <c r="AC244" s="18"/>
      <c r="AD244" s="18"/>
      <c r="AE244" s="15"/>
      <c r="AF244" s="15"/>
    </row>
    <row r="245" spans="1:32" x14ac:dyDescent="0.25">
      <c r="A245" t="str">
        <f t="shared" ca="1" si="10"/>
        <v>20140825-000245--190001000000@LIBRARY.NASHVILLE.ORG</v>
      </c>
      <c r="B245" s="15" t="str">
        <f t="shared" si="12"/>
        <v/>
      </c>
      <c r="C245" s="15"/>
      <c r="D245" s="16" t="str">
        <f t="shared" si="11"/>
        <v/>
      </c>
      <c r="E245" s="21"/>
      <c r="F245" s="7"/>
      <c r="G245" s="19"/>
      <c r="H245" s="17"/>
      <c r="I245" s="1"/>
      <c r="N245" s="1"/>
      <c r="O245" s="1"/>
      <c r="P245" s="18"/>
      <c r="Q245" s="18"/>
      <c r="R245" s="18"/>
      <c r="S245" s="18"/>
      <c r="T245" s="18"/>
      <c r="U245" s="18"/>
      <c r="V245" s="18"/>
      <c r="W245" s="18"/>
      <c r="X245" s="18"/>
      <c r="Y245" s="18"/>
      <c r="Z245" s="18"/>
      <c r="AA245" s="18"/>
      <c r="AB245" s="18"/>
      <c r="AC245" s="18"/>
      <c r="AD245" s="18"/>
      <c r="AE245" s="15"/>
      <c r="AF245" s="15"/>
    </row>
    <row r="246" spans="1:32" x14ac:dyDescent="0.25">
      <c r="A246" t="str">
        <f t="shared" ca="1" si="10"/>
        <v>20140825-000246--190001000000@LIBRARY.NASHVILLE.ORG</v>
      </c>
      <c r="B246" s="15" t="str">
        <f t="shared" si="12"/>
        <v/>
      </c>
      <c r="C246" s="15"/>
      <c r="D246" s="16" t="str">
        <f t="shared" si="11"/>
        <v/>
      </c>
      <c r="E246" s="21"/>
      <c r="F246" s="7"/>
      <c r="G246" s="19"/>
      <c r="H246" s="17"/>
      <c r="I246" s="1"/>
      <c r="N246" s="1"/>
      <c r="O246" s="1"/>
      <c r="P246" s="18"/>
      <c r="Q246" s="18"/>
      <c r="R246" s="18"/>
      <c r="S246" s="18"/>
      <c r="T246" s="18"/>
      <c r="U246" s="18"/>
      <c r="V246" s="18"/>
      <c r="W246" s="18"/>
      <c r="X246" s="18"/>
      <c r="Y246" s="18"/>
      <c r="Z246" s="18"/>
      <c r="AA246" s="18"/>
      <c r="AB246" s="18"/>
      <c r="AC246" s="18"/>
      <c r="AD246" s="18"/>
      <c r="AE246" s="15"/>
      <c r="AF246" s="15"/>
    </row>
    <row r="247" spans="1:32" x14ac:dyDescent="0.25">
      <c r="A247" t="str">
        <f t="shared" ca="1" si="10"/>
        <v>20140825-000247--190001000000@LIBRARY.NASHVILLE.ORG</v>
      </c>
      <c r="B247" s="15" t="str">
        <f t="shared" si="12"/>
        <v/>
      </c>
      <c r="C247" s="15"/>
      <c r="D247" s="16" t="str">
        <f t="shared" si="11"/>
        <v/>
      </c>
      <c r="E247" s="21"/>
      <c r="F247" s="7"/>
      <c r="G247" s="19"/>
      <c r="H247" s="17"/>
      <c r="I247" s="1"/>
      <c r="N247" s="1"/>
      <c r="O247" s="1"/>
      <c r="P247" s="18"/>
      <c r="Q247" s="18"/>
      <c r="R247" s="18"/>
      <c r="S247" s="18"/>
      <c r="T247" s="18"/>
      <c r="U247" s="18"/>
      <c r="V247" s="18"/>
      <c r="W247" s="18"/>
      <c r="X247" s="18"/>
      <c r="Y247" s="18"/>
      <c r="Z247" s="18"/>
      <c r="AA247" s="18"/>
      <c r="AB247" s="18"/>
      <c r="AC247" s="18"/>
      <c r="AD247" s="18"/>
      <c r="AE247" s="15"/>
      <c r="AF247" s="15"/>
    </row>
    <row r="248" spans="1:32" x14ac:dyDescent="0.25">
      <c r="A248" t="str">
        <f t="shared" ca="1" si="10"/>
        <v>20140825-000248--190001000000@LIBRARY.NASHVILLE.ORG</v>
      </c>
      <c r="B248" s="15" t="str">
        <f t="shared" si="12"/>
        <v/>
      </c>
      <c r="C248" s="15"/>
      <c r="D248" s="16" t="str">
        <f t="shared" si="11"/>
        <v/>
      </c>
      <c r="E248" s="21"/>
      <c r="F248" s="7"/>
      <c r="G248" s="19"/>
      <c r="H248" s="17"/>
      <c r="I248" s="1"/>
      <c r="N248" s="1"/>
      <c r="O248" s="1"/>
      <c r="P248" s="18"/>
      <c r="Q248" s="18"/>
      <c r="R248" s="18"/>
      <c r="S248" s="18"/>
      <c r="T248" s="18"/>
      <c r="U248" s="18"/>
      <c r="V248" s="18"/>
      <c r="W248" s="18"/>
      <c r="X248" s="18"/>
      <c r="Y248" s="18"/>
      <c r="Z248" s="18"/>
      <c r="AA248" s="18"/>
      <c r="AB248" s="18"/>
      <c r="AC248" s="18"/>
      <c r="AD248" s="18"/>
      <c r="AE248" s="15"/>
      <c r="AF248" s="15"/>
    </row>
    <row r="249" spans="1:32" x14ac:dyDescent="0.25">
      <c r="A249" t="str">
        <f t="shared" ca="1" si="10"/>
        <v>20140825-000249--190001000000@LIBRARY.NASHVILLE.ORG</v>
      </c>
      <c r="B249" s="15" t="str">
        <f t="shared" si="12"/>
        <v/>
      </c>
      <c r="C249" s="15"/>
      <c r="D249" s="16" t="str">
        <f t="shared" si="11"/>
        <v/>
      </c>
      <c r="E249" s="21"/>
      <c r="F249" s="7"/>
      <c r="G249" s="19"/>
      <c r="H249" s="17"/>
      <c r="I249" s="1"/>
      <c r="N249" s="1"/>
      <c r="O249" s="1"/>
      <c r="P249" s="18"/>
      <c r="Q249" s="18"/>
      <c r="R249" s="18"/>
      <c r="S249" s="18"/>
      <c r="T249" s="18"/>
      <c r="U249" s="18"/>
      <c r="V249" s="18"/>
      <c r="W249" s="18"/>
      <c r="X249" s="18"/>
      <c r="Y249" s="18"/>
      <c r="Z249" s="18"/>
      <c r="AA249" s="18"/>
      <c r="AB249" s="18"/>
      <c r="AC249" s="18"/>
      <c r="AD249" s="18"/>
      <c r="AE249" s="15"/>
      <c r="AF249" s="15"/>
    </row>
    <row r="250" spans="1:32" x14ac:dyDescent="0.25">
      <c r="A250" t="str">
        <f t="shared" ca="1" si="10"/>
        <v>20140825-000250--190001000000@LIBRARY.NASHVILLE.ORG</v>
      </c>
      <c r="B250" s="15" t="str">
        <f t="shared" si="12"/>
        <v/>
      </c>
      <c r="C250" s="15"/>
      <c r="D250" s="16" t="str">
        <f t="shared" si="11"/>
        <v/>
      </c>
      <c r="E250" s="21"/>
      <c r="F250" s="7"/>
      <c r="G250" s="19"/>
      <c r="H250" s="17"/>
      <c r="I250" s="1"/>
      <c r="N250" s="1"/>
      <c r="O250" s="1"/>
      <c r="P250" s="18"/>
      <c r="Q250" s="18"/>
      <c r="R250" s="18"/>
      <c r="S250" s="18"/>
      <c r="T250" s="18"/>
      <c r="U250" s="18"/>
      <c r="V250" s="18"/>
      <c r="W250" s="18"/>
      <c r="X250" s="18"/>
      <c r="Y250" s="18"/>
      <c r="Z250" s="18"/>
      <c r="AA250" s="18"/>
      <c r="AB250" s="18"/>
      <c r="AC250" s="18"/>
      <c r="AD250" s="18"/>
      <c r="AE250" s="15"/>
      <c r="AF250" s="15"/>
    </row>
    <row r="251" spans="1:32" x14ac:dyDescent="0.25">
      <c r="A251" t="str">
        <f t="shared" ca="1" si="10"/>
        <v>20140825-000251--190001000000@LIBRARY.NASHVILLE.ORG</v>
      </c>
      <c r="B251" s="15" t="str">
        <f t="shared" si="12"/>
        <v/>
      </c>
      <c r="D251" s="16" t="str">
        <f t="shared" si="11"/>
        <v/>
      </c>
      <c r="E251" s="21"/>
      <c r="F251" s="7"/>
      <c r="G251" s="19"/>
      <c r="H251" s="17"/>
      <c r="I251" s="1"/>
      <c r="N251" s="1"/>
      <c r="O251" s="1"/>
      <c r="P251" s="18"/>
      <c r="Q251" s="18"/>
      <c r="R251" s="18"/>
      <c r="S251" s="18"/>
      <c r="T251" s="18"/>
      <c r="U251" s="18"/>
      <c r="V251" s="18"/>
      <c r="W251" s="18"/>
      <c r="X251" s="18"/>
      <c r="Y251" s="18"/>
      <c r="Z251" s="18"/>
      <c r="AA251" s="18"/>
      <c r="AB251" s="18"/>
      <c r="AC251" s="18"/>
      <c r="AD251" s="18"/>
      <c r="AE251" s="15"/>
      <c r="AF251" s="15"/>
    </row>
    <row r="252" spans="1:32" x14ac:dyDescent="0.25">
      <c r="A252" t="str">
        <f t="shared" ca="1" si="10"/>
        <v>20140825-000252--190001000000@LIBRARY.NASHVILLE.ORG</v>
      </c>
      <c r="B252" s="15" t="str">
        <f t="shared" si="12"/>
        <v/>
      </c>
      <c r="D252" s="16" t="str">
        <f t="shared" si="11"/>
        <v/>
      </c>
      <c r="E252" s="21"/>
      <c r="F252" s="7"/>
      <c r="G252" s="19"/>
      <c r="H252" s="17"/>
      <c r="I252" s="1"/>
      <c r="N252" s="1"/>
      <c r="O252" s="1"/>
      <c r="P252" s="18"/>
      <c r="Q252" s="18"/>
      <c r="R252" s="18"/>
      <c r="S252" s="18"/>
      <c r="T252" s="18"/>
      <c r="U252" s="18"/>
      <c r="V252" s="18"/>
      <c r="W252" s="18"/>
      <c r="X252" s="18"/>
      <c r="Y252" s="18"/>
      <c r="Z252" s="18"/>
      <c r="AA252" s="18"/>
      <c r="AB252" s="18"/>
      <c r="AC252" s="18"/>
      <c r="AD252" s="18"/>
      <c r="AE252" s="15"/>
      <c r="AF252" s="15"/>
    </row>
    <row r="253" spans="1:32" x14ac:dyDescent="0.25">
      <c r="A253" t="str">
        <f t="shared" ca="1" si="10"/>
        <v>20140825-000253--190001000000@LIBRARY.NASHVILLE.ORG</v>
      </c>
      <c r="B253" s="15" t="str">
        <f t="shared" si="12"/>
        <v/>
      </c>
      <c r="D253" s="16" t="str">
        <f t="shared" si="11"/>
        <v/>
      </c>
      <c r="E253" s="21"/>
      <c r="F253" s="7"/>
      <c r="G253" s="19"/>
      <c r="H253" s="17"/>
      <c r="I253" s="1"/>
      <c r="N253" s="1"/>
      <c r="O253" s="1"/>
      <c r="P253" s="18"/>
      <c r="Q253" s="18"/>
      <c r="R253" s="18"/>
      <c r="S253" s="18"/>
      <c r="T253" s="18"/>
      <c r="U253" s="18"/>
      <c r="V253" s="18"/>
      <c r="W253" s="18"/>
      <c r="X253" s="18"/>
      <c r="Y253" s="18"/>
      <c r="Z253" s="18"/>
      <c r="AA253" s="18"/>
      <c r="AB253" s="18"/>
      <c r="AC253" s="18"/>
      <c r="AD253" s="18"/>
      <c r="AE253" s="15"/>
      <c r="AF253" s="15"/>
    </row>
    <row r="254" spans="1:32" x14ac:dyDescent="0.25">
      <c r="A254" t="str">
        <f t="shared" ca="1" si="10"/>
        <v>20140825-000254--190001000000@LIBRARY.NASHVILLE.ORG</v>
      </c>
      <c r="B254" s="15" t="str">
        <f t="shared" si="12"/>
        <v/>
      </c>
      <c r="D254" s="16" t="str">
        <f t="shared" si="11"/>
        <v/>
      </c>
      <c r="E254" s="21"/>
      <c r="F254" s="7"/>
      <c r="G254" s="19"/>
      <c r="H254" s="17"/>
      <c r="I254" s="1"/>
      <c r="N254" s="1"/>
      <c r="O254" s="1"/>
      <c r="P254" s="18"/>
      <c r="Q254" s="18"/>
      <c r="R254" s="18"/>
      <c r="S254" s="18"/>
      <c r="T254" s="18"/>
      <c r="U254" s="18"/>
      <c r="V254" s="18"/>
      <c r="W254" s="18"/>
      <c r="X254" s="18"/>
      <c r="Y254" s="18"/>
      <c r="Z254" s="18"/>
      <c r="AA254" s="18"/>
      <c r="AB254" s="18"/>
      <c r="AC254" s="18"/>
      <c r="AD254" s="18"/>
      <c r="AE254" s="15"/>
      <c r="AF254" s="15"/>
    </row>
    <row r="255" spans="1:32" x14ac:dyDescent="0.25">
      <c r="A255" t="str">
        <f t="shared" ca="1" si="10"/>
        <v>20140825-000255--190001000000@LIBRARY.NASHVILLE.ORG</v>
      </c>
      <c r="B255" s="15" t="str">
        <f t="shared" si="12"/>
        <v/>
      </c>
      <c r="D255" s="16" t="str">
        <f t="shared" si="11"/>
        <v/>
      </c>
      <c r="E255" s="21"/>
      <c r="F255" s="7"/>
      <c r="G255" s="19"/>
      <c r="H255" s="17"/>
      <c r="I255" s="1"/>
      <c r="N255" s="1"/>
      <c r="O255" s="1"/>
      <c r="P255" s="18"/>
      <c r="Q255" s="18"/>
      <c r="R255" s="18"/>
      <c r="S255" s="18"/>
      <c r="T255" s="18"/>
      <c r="U255" s="18"/>
      <c r="V255" s="18"/>
      <c r="W255" s="18"/>
      <c r="X255" s="18"/>
      <c r="Y255" s="18"/>
      <c r="Z255" s="18"/>
      <c r="AA255" s="18"/>
      <c r="AB255" s="18"/>
      <c r="AC255" s="18"/>
      <c r="AD255" s="18"/>
      <c r="AE255" s="15"/>
      <c r="AF255" s="15"/>
    </row>
    <row r="256" spans="1:32" x14ac:dyDescent="0.25">
      <c r="A256" t="str">
        <f t="shared" ca="1" si="10"/>
        <v>20140825-000256--190001000000@LIBRARY.NASHVILLE.ORG</v>
      </c>
      <c r="B256" s="15" t="str">
        <f t="shared" si="12"/>
        <v/>
      </c>
      <c r="D256" s="16" t="str">
        <f t="shared" si="11"/>
        <v/>
      </c>
      <c r="E256" s="21"/>
      <c r="F256" s="7"/>
      <c r="G256" s="19"/>
      <c r="H256" s="17"/>
      <c r="I256" s="1"/>
      <c r="N256" s="1"/>
      <c r="O256" s="1"/>
      <c r="P256" s="18"/>
      <c r="Q256" s="18"/>
      <c r="R256" s="18"/>
      <c r="S256" s="18"/>
      <c r="T256" s="18"/>
      <c r="U256" s="18"/>
      <c r="V256" s="18"/>
      <c r="W256" s="18"/>
      <c r="X256" s="18"/>
      <c r="Y256" s="18"/>
      <c r="Z256" s="18"/>
      <c r="AA256" s="18"/>
      <c r="AB256" s="18"/>
      <c r="AC256" s="18"/>
      <c r="AD256" s="18"/>
      <c r="AE256" s="15"/>
      <c r="AF256" s="15"/>
    </row>
    <row r="257" spans="1:32" x14ac:dyDescent="0.25">
      <c r="A257" t="str">
        <f t="shared" ca="1" si="10"/>
        <v>20140825-000257--190001000000@LIBRARY.NASHVILLE.ORG</v>
      </c>
      <c r="B257" s="15" t="str">
        <f t="shared" si="12"/>
        <v/>
      </c>
      <c r="D257" s="16" t="str">
        <f t="shared" si="11"/>
        <v/>
      </c>
      <c r="E257" s="21"/>
      <c r="F257" s="7"/>
      <c r="G257" s="19"/>
      <c r="H257" s="17"/>
      <c r="I257" s="1"/>
      <c r="N257" s="1"/>
      <c r="O257" s="1"/>
      <c r="P257" s="18"/>
      <c r="Q257" s="18"/>
      <c r="R257" s="18"/>
      <c r="S257" s="18"/>
      <c r="T257" s="18"/>
      <c r="U257" s="18"/>
      <c r="V257" s="18"/>
      <c r="W257" s="18"/>
      <c r="X257" s="18"/>
      <c r="Y257" s="18"/>
      <c r="Z257" s="18"/>
      <c r="AA257" s="18"/>
      <c r="AB257" s="18"/>
      <c r="AC257" s="18"/>
      <c r="AD257" s="18"/>
      <c r="AE257" s="15"/>
      <c r="AF257" s="15"/>
    </row>
    <row r="258" spans="1:32" x14ac:dyDescent="0.25">
      <c r="A258" t="str">
        <f t="shared" ref="A258:A321" ca="1" si="13">UPPER(CONCATENATE(TEXT(TODAY(),"yyyymmdd"),"-",TEXT(ROW(),"000000"),"-",SUBSTITUTE(B258," ",""),"-",TEXT(C258,"yyyymmdd"),TEXT(E258,"hhmm"),"@library.nashville.org"))</f>
        <v>20140825-000258--190001000000@LIBRARY.NASHVILLE.ORG</v>
      </c>
      <c r="B258" s="15" t="str">
        <f t="shared" si="12"/>
        <v/>
      </c>
      <c r="D258" s="16" t="str">
        <f t="shared" si="11"/>
        <v/>
      </c>
      <c r="E258" s="21"/>
      <c r="F258" s="7"/>
      <c r="G258" s="19"/>
      <c r="H258" s="17"/>
      <c r="I258" s="1"/>
      <c r="N258" s="1"/>
      <c r="O258" s="1"/>
      <c r="P258" s="18"/>
      <c r="Q258" s="18"/>
      <c r="R258" s="18"/>
      <c r="S258" s="18"/>
      <c r="T258" s="18"/>
      <c r="U258" s="18"/>
      <c r="V258" s="18"/>
      <c r="W258" s="18"/>
      <c r="X258" s="18"/>
      <c r="Y258" s="18"/>
      <c r="Z258" s="18"/>
      <c r="AA258" s="18"/>
      <c r="AB258" s="18"/>
      <c r="AC258" s="18"/>
      <c r="AD258" s="18"/>
      <c r="AE258" s="15"/>
      <c r="AF258" s="15"/>
    </row>
    <row r="259" spans="1:32" x14ac:dyDescent="0.25">
      <c r="A259" t="str">
        <f t="shared" ca="1" si="13"/>
        <v>20140825-000259--190001000000@LIBRARY.NASHVILLE.ORG</v>
      </c>
      <c r="B259" s="15" t="str">
        <f t="shared" si="12"/>
        <v/>
      </c>
      <c r="D259" s="16" t="str">
        <f t="shared" ref="D259:D322" si="14">IF(C259=0,"",TEXT($C259,"dddd"))</f>
        <v/>
      </c>
      <c r="E259" s="21"/>
      <c r="F259" s="7"/>
      <c r="G259" s="19"/>
      <c r="H259" s="17"/>
      <c r="I259" s="1"/>
      <c r="N259" s="1"/>
      <c r="O259" s="1"/>
      <c r="P259" s="18"/>
      <c r="Q259" s="18"/>
      <c r="R259" s="18"/>
      <c r="S259" s="18"/>
      <c r="T259" s="18"/>
      <c r="U259" s="18"/>
      <c r="V259" s="18"/>
      <c r="W259" s="18"/>
      <c r="X259" s="18"/>
      <c r="Y259" s="18"/>
      <c r="Z259" s="18"/>
      <c r="AA259" s="18"/>
      <c r="AB259" s="18"/>
      <c r="AC259" s="18"/>
      <c r="AD259" s="18"/>
      <c r="AE259" s="15"/>
      <c r="AF259" s="15"/>
    </row>
    <row r="260" spans="1:32" x14ac:dyDescent="0.25">
      <c r="A260" t="str">
        <f t="shared" ca="1" si="13"/>
        <v>20140825-000260--190001000000@LIBRARY.NASHVILLE.ORG</v>
      </c>
      <c r="B260" s="15" t="str">
        <f t="shared" si="12"/>
        <v/>
      </c>
      <c r="D260" s="16" t="str">
        <f t="shared" si="14"/>
        <v/>
      </c>
      <c r="E260" s="21"/>
      <c r="F260" s="7"/>
      <c r="G260" s="19"/>
      <c r="H260" s="17"/>
      <c r="I260" s="1"/>
      <c r="N260" s="1"/>
      <c r="O260" s="1"/>
      <c r="P260" s="18"/>
      <c r="Q260" s="18"/>
      <c r="R260" s="18"/>
      <c r="S260" s="18"/>
      <c r="T260" s="18"/>
      <c r="U260" s="18"/>
      <c r="V260" s="18"/>
      <c r="W260" s="18"/>
      <c r="X260" s="18"/>
      <c r="Y260" s="18"/>
      <c r="Z260" s="18"/>
      <c r="AA260" s="18"/>
      <c r="AB260" s="18"/>
      <c r="AC260" s="18"/>
      <c r="AD260" s="18"/>
      <c r="AE260" s="15"/>
      <c r="AF260" s="15"/>
    </row>
    <row r="261" spans="1:32" x14ac:dyDescent="0.25">
      <c r="A261" t="str">
        <f t="shared" ca="1" si="13"/>
        <v>20140825-000261--190001000000@LIBRARY.NASHVILLE.ORG</v>
      </c>
      <c r="B261" s="15" t="str">
        <f t="shared" si="12"/>
        <v/>
      </c>
      <c r="D261" s="16" t="str">
        <f t="shared" si="14"/>
        <v/>
      </c>
      <c r="E261" s="21"/>
      <c r="F261" s="7"/>
      <c r="G261" s="19"/>
      <c r="H261" s="17"/>
      <c r="I261" s="1"/>
      <c r="N261" s="1"/>
      <c r="O261" s="1"/>
      <c r="P261" s="18"/>
      <c r="Q261" s="18"/>
      <c r="R261" s="18"/>
      <c r="S261" s="18"/>
      <c r="T261" s="18"/>
      <c r="U261" s="18"/>
      <c r="V261" s="18"/>
      <c r="W261" s="18"/>
      <c r="X261" s="18"/>
      <c r="Y261" s="18"/>
      <c r="Z261" s="18"/>
      <c r="AA261" s="18"/>
      <c r="AB261" s="18"/>
      <c r="AC261" s="18"/>
      <c r="AD261" s="18"/>
      <c r="AE261" s="15"/>
      <c r="AF261" s="15"/>
    </row>
    <row r="262" spans="1:32" x14ac:dyDescent="0.25">
      <c r="A262" t="str">
        <f t="shared" ca="1" si="13"/>
        <v>20140825-000262--190001000000@LIBRARY.NASHVILLE.ORG</v>
      </c>
      <c r="B262" s="15" t="str">
        <f t="shared" si="12"/>
        <v/>
      </c>
      <c r="D262" s="16" t="str">
        <f t="shared" si="14"/>
        <v/>
      </c>
      <c r="E262" s="21"/>
      <c r="F262" s="7"/>
      <c r="G262" s="19"/>
      <c r="H262" s="17"/>
      <c r="I262" s="1"/>
      <c r="N262" s="1"/>
      <c r="O262" s="1"/>
      <c r="P262" s="18"/>
      <c r="Q262" s="18"/>
      <c r="R262" s="18"/>
      <c r="S262" s="18"/>
      <c r="T262" s="18"/>
      <c r="U262" s="18"/>
      <c r="V262" s="18"/>
      <c r="W262" s="18"/>
      <c r="X262" s="18"/>
      <c r="Y262" s="18"/>
      <c r="Z262" s="18"/>
      <c r="AA262" s="18"/>
      <c r="AB262" s="18"/>
      <c r="AC262" s="18"/>
      <c r="AD262" s="18"/>
      <c r="AE262" s="15"/>
      <c r="AF262" s="15"/>
    </row>
    <row r="263" spans="1:32" x14ac:dyDescent="0.25">
      <c r="A263" t="str">
        <f t="shared" ca="1" si="13"/>
        <v>20140825-000263--190001000000@LIBRARY.NASHVILLE.ORG</v>
      </c>
      <c r="B263" s="15" t="str">
        <f t="shared" si="12"/>
        <v/>
      </c>
      <c r="D263" s="16" t="str">
        <f t="shared" si="14"/>
        <v/>
      </c>
      <c r="E263" s="21"/>
      <c r="F263" s="7"/>
      <c r="G263" s="19"/>
      <c r="H263" s="17"/>
      <c r="I263" s="1"/>
      <c r="N263" s="1"/>
      <c r="O263" s="1"/>
      <c r="P263" s="18"/>
      <c r="Q263" s="18"/>
      <c r="R263" s="18"/>
      <c r="S263" s="18"/>
      <c r="T263" s="18"/>
      <c r="U263" s="18"/>
      <c r="V263" s="18"/>
      <c r="W263" s="18"/>
      <c r="X263" s="18"/>
      <c r="Y263" s="18"/>
      <c r="Z263" s="18"/>
      <c r="AA263" s="18"/>
      <c r="AB263" s="18"/>
      <c r="AC263" s="18"/>
      <c r="AD263" s="18"/>
      <c r="AE263" s="15"/>
      <c r="AF263" s="15"/>
    </row>
    <row r="264" spans="1:32" x14ac:dyDescent="0.25">
      <c r="A264" t="str">
        <f t="shared" ca="1" si="13"/>
        <v>20140825-000264--190001000000@LIBRARY.NASHVILLE.ORG</v>
      </c>
      <c r="B264" s="15" t="str">
        <f t="shared" si="12"/>
        <v/>
      </c>
      <c r="D264" s="16" t="str">
        <f t="shared" si="14"/>
        <v/>
      </c>
      <c r="E264" s="21"/>
      <c r="F264" s="7"/>
      <c r="G264" s="19"/>
      <c r="H264" s="17"/>
      <c r="I264" s="1"/>
      <c r="N264" s="1"/>
      <c r="O264" s="1"/>
      <c r="P264" s="18"/>
      <c r="Q264" s="18"/>
      <c r="R264" s="18"/>
      <c r="S264" s="18"/>
      <c r="T264" s="18"/>
      <c r="U264" s="18"/>
      <c r="V264" s="18"/>
      <c r="W264" s="18"/>
      <c r="X264" s="18"/>
      <c r="Y264" s="18"/>
      <c r="Z264" s="18"/>
      <c r="AA264" s="18"/>
      <c r="AB264" s="18"/>
      <c r="AC264" s="18"/>
      <c r="AD264" s="18"/>
      <c r="AE264" s="15"/>
      <c r="AF264" s="15"/>
    </row>
    <row r="265" spans="1:32" x14ac:dyDescent="0.25">
      <c r="A265" t="str">
        <f t="shared" ca="1" si="13"/>
        <v>20140825-000265--190001000000@LIBRARY.NASHVILLE.ORG</v>
      </c>
      <c r="B265" s="15" t="str">
        <f t="shared" si="12"/>
        <v/>
      </c>
      <c r="D265" s="16" t="str">
        <f t="shared" si="14"/>
        <v/>
      </c>
      <c r="E265" s="21"/>
      <c r="F265" s="7"/>
      <c r="G265" s="19"/>
      <c r="H265" s="17"/>
      <c r="I265" s="1"/>
      <c r="N265" s="1"/>
      <c r="O265" s="1"/>
      <c r="P265" s="18"/>
      <c r="Q265" s="18"/>
      <c r="R265" s="18"/>
      <c r="S265" s="18"/>
      <c r="T265" s="18"/>
      <c r="U265" s="18"/>
      <c r="V265" s="18"/>
      <c r="W265" s="18"/>
      <c r="X265" s="18"/>
      <c r="Y265" s="18"/>
      <c r="Z265" s="18"/>
      <c r="AA265" s="18"/>
      <c r="AB265" s="18"/>
      <c r="AC265" s="18"/>
      <c r="AD265" s="18"/>
      <c r="AE265" s="15"/>
      <c r="AF265" s="15"/>
    </row>
    <row r="266" spans="1:32" x14ac:dyDescent="0.25">
      <c r="A266" t="str">
        <f t="shared" ca="1" si="13"/>
        <v>20140825-000266--190001000000@LIBRARY.NASHVILLE.ORG</v>
      </c>
      <c r="B266" s="15" t="str">
        <f t="shared" si="12"/>
        <v/>
      </c>
      <c r="D266" s="16" t="str">
        <f t="shared" si="14"/>
        <v/>
      </c>
      <c r="E266" s="21"/>
      <c r="F266" s="7"/>
      <c r="G266" s="19"/>
      <c r="H266" s="17"/>
      <c r="I266" s="1"/>
      <c r="N266" s="1"/>
      <c r="O266" s="1"/>
      <c r="P266" s="18"/>
      <c r="Q266" s="18"/>
      <c r="R266" s="18"/>
      <c r="S266" s="18"/>
      <c r="T266" s="18"/>
      <c r="U266" s="18"/>
      <c r="V266" s="18"/>
      <c r="W266" s="18"/>
      <c r="X266" s="18"/>
      <c r="Y266" s="18"/>
      <c r="Z266" s="18"/>
      <c r="AA266" s="18"/>
      <c r="AB266" s="18"/>
      <c r="AC266" s="18"/>
      <c r="AD266" s="18"/>
      <c r="AE266" s="15"/>
      <c r="AF266" s="15"/>
    </row>
    <row r="267" spans="1:32" x14ac:dyDescent="0.25">
      <c r="A267" t="str">
        <f t="shared" ca="1" si="13"/>
        <v>20140825-000267--190001000000@LIBRARY.NASHVILLE.ORG</v>
      </c>
      <c r="B267" s="15" t="str">
        <f t="shared" si="12"/>
        <v/>
      </c>
      <c r="D267" s="16" t="str">
        <f t="shared" si="14"/>
        <v/>
      </c>
      <c r="E267" s="21"/>
      <c r="F267" s="7"/>
      <c r="G267" s="19"/>
      <c r="H267" s="17"/>
      <c r="I267" s="1"/>
      <c r="N267" s="1"/>
      <c r="O267" s="1"/>
      <c r="P267" s="18"/>
      <c r="Q267" s="18"/>
      <c r="R267" s="18"/>
      <c r="S267" s="18"/>
      <c r="T267" s="18"/>
      <c r="U267" s="18"/>
      <c r="V267" s="18"/>
      <c r="W267" s="18"/>
      <c r="X267" s="18"/>
      <c r="Y267" s="18"/>
      <c r="Z267" s="18"/>
      <c r="AA267" s="18"/>
      <c r="AB267" s="18"/>
      <c r="AC267" s="18"/>
      <c r="AD267" s="18"/>
      <c r="AE267" s="15"/>
      <c r="AF267" s="15"/>
    </row>
    <row r="268" spans="1:32" x14ac:dyDescent="0.25">
      <c r="A268" t="str">
        <f t="shared" ca="1" si="13"/>
        <v>20140825-000268--190001000000@LIBRARY.NASHVILLE.ORG</v>
      </c>
      <c r="B268" s="15" t="str">
        <f t="shared" si="12"/>
        <v/>
      </c>
      <c r="D268" s="16" t="str">
        <f t="shared" si="14"/>
        <v/>
      </c>
      <c r="E268" s="21"/>
      <c r="F268" s="7"/>
      <c r="G268" s="19"/>
      <c r="H268" s="17"/>
      <c r="I268" s="1"/>
      <c r="N268" s="1"/>
      <c r="O268" s="1"/>
      <c r="P268" s="18"/>
      <c r="Q268" s="18"/>
      <c r="R268" s="18"/>
      <c r="S268" s="18"/>
      <c r="T268" s="18"/>
      <c r="U268" s="18"/>
      <c r="V268" s="18"/>
      <c r="W268" s="18"/>
      <c r="X268" s="18"/>
      <c r="Y268" s="18"/>
      <c r="Z268" s="18"/>
      <c r="AA268" s="18"/>
      <c r="AB268" s="18"/>
      <c r="AC268" s="18"/>
      <c r="AD268" s="18"/>
      <c r="AE268" s="15"/>
      <c r="AF268" s="15"/>
    </row>
    <row r="269" spans="1:32" x14ac:dyDescent="0.25">
      <c r="A269" t="str">
        <f t="shared" ca="1" si="13"/>
        <v>20140825-000269--190001000000@LIBRARY.NASHVILLE.ORG</v>
      </c>
      <c r="B269" s="15" t="str">
        <f t="shared" ref="B269:B332" si="15">IF($B$2=0,"",TEXT($B$2,""))</f>
        <v/>
      </c>
      <c r="D269" s="16" t="str">
        <f t="shared" si="14"/>
        <v/>
      </c>
      <c r="E269" s="21"/>
      <c r="F269" s="7"/>
      <c r="G269" s="19"/>
      <c r="H269" s="17"/>
      <c r="I269" s="1"/>
      <c r="N269" s="1"/>
      <c r="O269" s="1"/>
      <c r="P269" s="18"/>
      <c r="Q269" s="18"/>
      <c r="R269" s="18"/>
      <c r="S269" s="18"/>
      <c r="T269" s="18"/>
      <c r="U269" s="18"/>
      <c r="V269" s="18"/>
      <c r="W269" s="18"/>
      <c r="X269" s="18"/>
      <c r="Y269" s="18"/>
      <c r="Z269" s="18"/>
      <c r="AA269" s="18"/>
      <c r="AB269" s="18"/>
      <c r="AC269" s="18"/>
      <c r="AD269" s="18"/>
      <c r="AE269" s="15"/>
      <c r="AF269" s="15"/>
    </row>
    <row r="270" spans="1:32" x14ac:dyDescent="0.25">
      <c r="A270" t="str">
        <f t="shared" ca="1" si="13"/>
        <v>20140825-000270--190001000000@LIBRARY.NASHVILLE.ORG</v>
      </c>
      <c r="B270" s="15" t="str">
        <f t="shared" si="15"/>
        <v/>
      </c>
      <c r="D270" s="16" t="str">
        <f t="shared" si="14"/>
        <v/>
      </c>
      <c r="E270" s="21"/>
      <c r="F270" s="7"/>
      <c r="G270" s="19"/>
      <c r="H270" s="17"/>
      <c r="I270" s="1"/>
      <c r="N270" s="1"/>
      <c r="O270" s="1"/>
      <c r="P270" s="18"/>
      <c r="Q270" s="18"/>
      <c r="R270" s="18"/>
      <c r="S270" s="18"/>
      <c r="T270" s="18"/>
      <c r="U270" s="18"/>
      <c r="V270" s="18"/>
      <c r="W270" s="18"/>
      <c r="X270" s="18"/>
      <c r="Y270" s="18"/>
      <c r="Z270" s="18"/>
      <c r="AA270" s="18"/>
      <c r="AB270" s="18"/>
      <c r="AC270" s="18"/>
      <c r="AD270" s="18"/>
      <c r="AE270" s="15"/>
      <c r="AF270" s="15"/>
    </row>
    <row r="271" spans="1:32" x14ac:dyDescent="0.25">
      <c r="A271" t="str">
        <f t="shared" ca="1" si="13"/>
        <v>20140825-000271--190001000000@LIBRARY.NASHVILLE.ORG</v>
      </c>
      <c r="B271" s="15" t="str">
        <f t="shared" si="15"/>
        <v/>
      </c>
      <c r="D271" s="16" t="str">
        <f t="shared" si="14"/>
        <v/>
      </c>
      <c r="E271" s="21"/>
      <c r="F271" s="7"/>
      <c r="G271" s="19"/>
      <c r="H271" s="17"/>
      <c r="I271" s="1"/>
      <c r="N271" s="1"/>
      <c r="O271" s="1"/>
      <c r="P271" s="18"/>
      <c r="Q271" s="18"/>
      <c r="R271" s="18"/>
      <c r="S271" s="18"/>
      <c r="T271" s="18"/>
      <c r="U271" s="18"/>
      <c r="V271" s="18"/>
      <c r="W271" s="18"/>
      <c r="X271" s="18"/>
      <c r="Y271" s="18"/>
      <c r="Z271" s="18"/>
      <c r="AA271" s="18"/>
      <c r="AB271" s="18"/>
      <c r="AC271" s="18"/>
      <c r="AD271" s="18"/>
      <c r="AE271" s="15"/>
      <c r="AF271" s="15"/>
    </row>
    <row r="272" spans="1:32" x14ac:dyDescent="0.25">
      <c r="A272" t="str">
        <f t="shared" ca="1" si="13"/>
        <v>20140825-000272--190001000000@LIBRARY.NASHVILLE.ORG</v>
      </c>
      <c r="B272" s="15" t="str">
        <f t="shared" si="15"/>
        <v/>
      </c>
      <c r="D272" s="16" t="str">
        <f t="shared" si="14"/>
        <v/>
      </c>
      <c r="E272" s="21"/>
      <c r="F272" s="7"/>
      <c r="G272" s="19"/>
      <c r="H272" s="17"/>
      <c r="I272" s="1"/>
      <c r="N272" s="1"/>
      <c r="O272" s="1"/>
      <c r="P272" s="18"/>
      <c r="Q272" s="18"/>
      <c r="R272" s="18"/>
      <c r="S272" s="18"/>
      <c r="T272" s="18"/>
      <c r="U272" s="18"/>
      <c r="V272" s="18"/>
      <c r="W272" s="18"/>
      <c r="X272" s="18"/>
      <c r="Y272" s="18"/>
      <c r="Z272" s="18"/>
      <c r="AA272" s="18"/>
      <c r="AB272" s="18"/>
      <c r="AC272" s="18"/>
      <c r="AD272" s="18"/>
      <c r="AE272" s="15"/>
      <c r="AF272" s="15"/>
    </row>
    <row r="273" spans="1:32" x14ac:dyDescent="0.25">
      <c r="A273" t="str">
        <f t="shared" ca="1" si="13"/>
        <v>20140825-000273--190001000000@LIBRARY.NASHVILLE.ORG</v>
      </c>
      <c r="B273" s="15" t="str">
        <f t="shared" si="15"/>
        <v/>
      </c>
      <c r="D273" s="16" t="str">
        <f t="shared" si="14"/>
        <v/>
      </c>
      <c r="E273" s="21"/>
      <c r="F273" s="7"/>
      <c r="G273" s="19"/>
      <c r="H273" s="17"/>
      <c r="I273" s="1"/>
      <c r="N273" s="1"/>
      <c r="O273" s="1"/>
      <c r="P273" s="18"/>
      <c r="Q273" s="18"/>
      <c r="R273" s="18"/>
      <c r="S273" s="18"/>
      <c r="T273" s="18"/>
      <c r="U273" s="18"/>
      <c r="V273" s="18"/>
      <c r="W273" s="18"/>
      <c r="X273" s="18"/>
      <c r="Y273" s="18"/>
      <c r="Z273" s="18"/>
      <c r="AA273" s="18"/>
      <c r="AB273" s="18"/>
      <c r="AC273" s="18"/>
      <c r="AD273" s="18"/>
      <c r="AE273" s="15"/>
      <c r="AF273" s="15"/>
    </row>
    <row r="274" spans="1:32" x14ac:dyDescent="0.25">
      <c r="A274" t="str">
        <f t="shared" ca="1" si="13"/>
        <v>20140825-000274--190001000000@LIBRARY.NASHVILLE.ORG</v>
      </c>
      <c r="B274" s="15" t="str">
        <f t="shared" si="15"/>
        <v/>
      </c>
      <c r="D274" s="16" t="str">
        <f t="shared" si="14"/>
        <v/>
      </c>
      <c r="E274" s="21"/>
      <c r="F274" s="7"/>
      <c r="G274" s="19"/>
      <c r="H274" s="17"/>
      <c r="I274" s="1"/>
      <c r="N274" s="1"/>
      <c r="O274" s="1"/>
      <c r="P274" s="18"/>
      <c r="Q274" s="18"/>
      <c r="R274" s="18"/>
      <c r="S274" s="18"/>
      <c r="T274" s="18"/>
      <c r="U274" s="18"/>
      <c r="V274" s="18"/>
      <c r="W274" s="18"/>
      <c r="X274" s="18"/>
      <c r="Y274" s="18"/>
      <c r="Z274" s="18"/>
      <c r="AA274" s="18"/>
      <c r="AB274" s="18"/>
      <c r="AC274" s="18"/>
      <c r="AD274" s="18"/>
      <c r="AE274" s="15"/>
      <c r="AF274" s="15"/>
    </row>
    <row r="275" spans="1:32" x14ac:dyDescent="0.25">
      <c r="A275" t="str">
        <f t="shared" ca="1" si="13"/>
        <v>20140825-000275--190001000000@LIBRARY.NASHVILLE.ORG</v>
      </c>
      <c r="B275" s="15" t="str">
        <f t="shared" si="15"/>
        <v/>
      </c>
      <c r="D275" s="16" t="str">
        <f t="shared" si="14"/>
        <v/>
      </c>
      <c r="E275" s="21"/>
      <c r="F275" s="7"/>
      <c r="G275" s="19"/>
      <c r="H275" s="17"/>
      <c r="I275" s="1"/>
      <c r="N275" s="1"/>
      <c r="O275" s="1"/>
      <c r="P275" s="18"/>
      <c r="Q275" s="18"/>
      <c r="R275" s="18"/>
      <c r="S275" s="18"/>
      <c r="T275" s="18"/>
      <c r="U275" s="18"/>
      <c r="V275" s="18"/>
      <c r="W275" s="18"/>
      <c r="X275" s="18"/>
      <c r="Y275" s="18"/>
      <c r="Z275" s="18"/>
      <c r="AA275" s="18"/>
      <c r="AB275" s="18"/>
      <c r="AC275" s="18"/>
      <c r="AD275" s="18"/>
      <c r="AE275" s="15"/>
      <c r="AF275" s="15"/>
    </row>
    <row r="276" spans="1:32" x14ac:dyDescent="0.25">
      <c r="A276" t="str">
        <f t="shared" ca="1" si="13"/>
        <v>20140825-000276--190001000000@LIBRARY.NASHVILLE.ORG</v>
      </c>
      <c r="B276" s="15" t="str">
        <f t="shared" si="15"/>
        <v/>
      </c>
      <c r="D276" s="16" t="str">
        <f t="shared" si="14"/>
        <v/>
      </c>
      <c r="E276" s="21"/>
      <c r="F276" s="7"/>
      <c r="G276" s="19"/>
      <c r="H276" s="17"/>
      <c r="I276" s="1"/>
      <c r="N276" s="1"/>
      <c r="O276" s="1"/>
      <c r="P276" s="18"/>
      <c r="Q276" s="18"/>
      <c r="R276" s="18"/>
      <c r="S276" s="18"/>
      <c r="T276" s="18"/>
      <c r="U276" s="18"/>
      <c r="V276" s="18"/>
      <c r="W276" s="18"/>
      <c r="X276" s="18"/>
      <c r="Y276" s="18"/>
      <c r="Z276" s="18"/>
      <c r="AA276" s="18"/>
      <c r="AB276" s="18"/>
      <c r="AC276" s="18"/>
      <c r="AD276" s="18"/>
      <c r="AE276" s="15"/>
      <c r="AF276" s="15"/>
    </row>
    <row r="277" spans="1:32" x14ac:dyDescent="0.25">
      <c r="A277" t="str">
        <f t="shared" ca="1" si="13"/>
        <v>20140825-000277--190001000000@LIBRARY.NASHVILLE.ORG</v>
      </c>
      <c r="B277" s="15" t="str">
        <f t="shared" si="15"/>
        <v/>
      </c>
      <c r="D277" s="16" t="str">
        <f t="shared" si="14"/>
        <v/>
      </c>
      <c r="E277" s="21"/>
      <c r="F277" s="7"/>
      <c r="G277" s="19"/>
      <c r="H277" s="17"/>
      <c r="I277" s="1"/>
      <c r="N277" s="1"/>
      <c r="O277" s="1"/>
      <c r="P277" s="18"/>
      <c r="Q277" s="18"/>
      <c r="R277" s="18"/>
      <c r="S277" s="18"/>
      <c r="T277" s="18"/>
      <c r="U277" s="18"/>
      <c r="V277" s="18"/>
      <c r="W277" s="18"/>
      <c r="X277" s="18"/>
      <c r="Y277" s="18"/>
      <c r="Z277" s="18"/>
      <c r="AA277" s="18"/>
      <c r="AB277" s="18"/>
      <c r="AC277" s="18"/>
      <c r="AD277" s="18"/>
      <c r="AE277" s="15"/>
      <c r="AF277" s="15"/>
    </row>
    <row r="278" spans="1:32" x14ac:dyDescent="0.25">
      <c r="A278" t="str">
        <f t="shared" ca="1" si="13"/>
        <v>20140825-000278--190001000000@LIBRARY.NASHVILLE.ORG</v>
      </c>
      <c r="B278" s="15" t="str">
        <f t="shared" si="15"/>
        <v/>
      </c>
      <c r="D278" s="16" t="str">
        <f t="shared" si="14"/>
        <v/>
      </c>
      <c r="E278" s="21"/>
      <c r="F278" s="7"/>
      <c r="G278" s="19"/>
      <c r="H278" s="17"/>
      <c r="I278" s="1"/>
      <c r="N278" s="1"/>
      <c r="O278" s="1"/>
      <c r="P278" s="18"/>
      <c r="Q278" s="18"/>
      <c r="R278" s="18"/>
      <c r="S278" s="18"/>
      <c r="T278" s="18"/>
      <c r="U278" s="18"/>
      <c r="V278" s="18"/>
      <c r="W278" s="18"/>
      <c r="X278" s="18"/>
      <c r="Y278" s="18"/>
      <c r="Z278" s="18"/>
      <c r="AA278" s="18"/>
      <c r="AB278" s="18"/>
      <c r="AC278" s="18"/>
      <c r="AD278" s="18"/>
      <c r="AE278" s="15"/>
      <c r="AF278" s="15"/>
    </row>
    <row r="279" spans="1:32" x14ac:dyDescent="0.25">
      <c r="A279" t="str">
        <f t="shared" ca="1" si="13"/>
        <v>20140825-000279--190001000000@LIBRARY.NASHVILLE.ORG</v>
      </c>
      <c r="B279" s="15" t="str">
        <f t="shared" si="15"/>
        <v/>
      </c>
      <c r="D279" s="16" t="str">
        <f t="shared" si="14"/>
        <v/>
      </c>
      <c r="E279" s="21"/>
      <c r="F279" s="7"/>
      <c r="G279" s="19"/>
      <c r="H279" s="17"/>
      <c r="I279" s="1"/>
      <c r="N279" s="1"/>
      <c r="O279" s="1"/>
      <c r="P279" s="18"/>
      <c r="Q279" s="18"/>
      <c r="R279" s="18"/>
      <c r="S279" s="18"/>
      <c r="T279" s="18"/>
      <c r="U279" s="18"/>
      <c r="V279" s="18"/>
      <c r="W279" s="18"/>
      <c r="X279" s="18"/>
      <c r="Y279" s="18"/>
      <c r="Z279" s="18"/>
      <c r="AA279" s="18"/>
      <c r="AB279" s="18"/>
      <c r="AC279" s="18"/>
      <c r="AD279" s="18"/>
      <c r="AE279" s="15"/>
      <c r="AF279" s="15"/>
    </row>
    <row r="280" spans="1:32" x14ac:dyDescent="0.25">
      <c r="A280" t="str">
        <f t="shared" ca="1" si="13"/>
        <v>20140825-000280--190001000000@LIBRARY.NASHVILLE.ORG</v>
      </c>
      <c r="B280" s="15" t="str">
        <f t="shared" si="15"/>
        <v/>
      </c>
      <c r="D280" s="16" t="str">
        <f t="shared" si="14"/>
        <v/>
      </c>
      <c r="E280" s="21"/>
      <c r="F280" s="7"/>
      <c r="G280" s="19"/>
      <c r="H280" s="17"/>
      <c r="I280" s="1"/>
      <c r="N280" s="1"/>
      <c r="O280" s="1"/>
      <c r="P280" s="18"/>
      <c r="Q280" s="18"/>
      <c r="R280" s="18"/>
      <c r="S280" s="18"/>
      <c r="T280" s="18"/>
      <c r="U280" s="18"/>
      <c r="V280" s="18"/>
      <c r="W280" s="18"/>
      <c r="X280" s="18"/>
      <c r="Y280" s="18"/>
      <c r="Z280" s="18"/>
      <c r="AA280" s="18"/>
      <c r="AB280" s="18"/>
      <c r="AC280" s="18"/>
      <c r="AD280" s="18"/>
      <c r="AE280" s="15"/>
      <c r="AF280" s="15"/>
    </row>
    <row r="281" spans="1:32" x14ac:dyDescent="0.25">
      <c r="A281" t="str">
        <f t="shared" ca="1" si="13"/>
        <v>20140825-000281--190001000000@LIBRARY.NASHVILLE.ORG</v>
      </c>
      <c r="B281" s="15" t="str">
        <f t="shared" si="15"/>
        <v/>
      </c>
      <c r="D281" s="16" t="str">
        <f t="shared" si="14"/>
        <v/>
      </c>
      <c r="E281" s="21"/>
      <c r="F281" s="7"/>
      <c r="G281" s="19"/>
      <c r="H281" s="17"/>
      <c r="I281" s="1"/>
      <c r="N281" s="1"/>
      <c r="O281" s="1"/>
      <c r="P281" s="18"/>
      <c r="Q281" s="18"/>
      <c r="R281" s="18"/>
      <c r="S281" s="18"/>
      <c r="T281" s="18"/>
      <c r="U281" s="18"/>
      <c r="V281" s="18"/>
      <c r="W281" s="18"/>
      <c r="X281" s="18"/>
      <c r="Y281" s="18"/>
      <c r="Z281" s="18"/>
      <c r="AA281" s="18"/>
      <c r="AB281" s="18"/>
      <c r="AC281" s="18"/>
      <c r="AD281" s="18"/>
      <c r="AE281" s="15"/>
      <c r="AF281" s="15"/>
    </row>
    <row r="282" spans="1:32" x14ac:dyDescent="0.25">
      <c r="A282" t="str">
        <f t="shared" ca="1" si="13"/>
        <v>20140825-000282--190001000000@LIBRARY.NASHVILLE.ORG</v>
      </c>
      <c r="B282" s="15" t="str">
        <f t="shared" si="15"/>
        <v/>
      </c>
      <c r="D282" s="16" t="str">
        <f t="shared" si="14"/>
        <v/>
      </c>
      <c r="E282" s="21"/>
      <c r="F282" s="7"/>
      <c r="G282" s="19"/>
      <c r="H282" s="17"/>
      <c r="I282" s="1"/>
      <c r="N282" s="1"/>
      <c r="O282" s="1"/>
      <c r="P282" s="18"/>
      <c r="Q282" s="18"/>
      <c r="R282" s="18"/>
      <c r="S282" s="18"/>
      <c r="T282" s="18"/>
      <c r="U282" s="18"/>
      <c r="V282" s="18"/>
      <c r="W282" s="18"/>
      <c r="X282" s="18"/>
      <c r="Y282" s="18"/>
      <c r="Z282" s="18"/>
      <c r="AA282" s="18"/>
      <c r="AB282" s="18"/>
      <c r="AC282" s="18"/>
      <c r="AD282" s="18"/>
      <c r="AE282" s="15"/>
      <c r="AF282" s="15"/>
    </row>
    <row r="283" spans="1:32" x14ac:dyDescent="0.25">
      <c r="A283" t="str">
        <f t="shared" ca="1" si="13"/>
        <v>20140825-000283--190001000000@LIBRARY.NASHVILLE.ORG</v>
      </c>
      <c r="B283" s="15" t="str">
        <f t="shared" si="15"/>
        <v/>
      </c>
      <c r="D283" s="16" t="str">
        <f t="shared" si="14"/>
        <v/>
      </c>
      <c r="E283" s="21"/>
      <c r="F283" s="7"/>
      <c r="G283" s="19"/>
      <c r="H283" s="17"/>
      <c r="I283" s="1"/>
      <c r="N283" s="1"/>
      <c r="O283" s="1"/>
      <c r="P283" s="18"/>
      <c r="Q283" s="18"/>
      <c r="R283" s="18"/>
      <c r="S283" s="18"/>
      <c r="T283" s="18"/>
      <c r="U283" s="18"/>
      <c r="V283" s="18"/>
      <c r="W283" s="18"/>
      <c r="X283" s="18"/>
      <c r="Y283" s="18"/>
      <c r="Z283" s="18"/>
      <c r="AA283" s="18"/>
      <c r="AB283" s="18"/>
      <c r="AC283" s="18"/>
      <c r="AD283" s="18"/>
      <c r="AE283" s="15"/>
      <c r="AF283" s="15"/>
    </row>
    <row r="284" spans="1:32" x14ac:dyDescent="0.25">
      <c r="A284" t="str">
        <f t="shared" ca="1" si="13"/>
        <v>20140825-000284--190001000000@LIBRARY.NASHVILLE.ORG</v>
      </c>
      <c r="B284" s="15" t="str">
        <f t="shared" si="15"/>
        <v/>
      </c>
      <c r="D284" s="16" t="str">
        <f t="shared" si="14"/>
        <v/>
      </c>
      <c r="E284" s="21"/>
      <c r="F284" s="7"/>
      <c r="G284" s="19"/>
      <c r="H284" s="17"/>
      <c r="I284" s="1"/>
      <c r="N284" s="1"/>
      <c r="O284" s="1"/>
      <c r="P284" s="18"/>
      <c r="Q284" s="18"/>
      <c r="R284" s="18"/>
      <c r="S284" s="18"/>
      <c r="T284" s="18"/>
      <c r="U284" s="18"/>
      <c r="V284" s="18"/>
      <c r="W284" s="18"/>
      <c r="X284" s="18"/>
      <c r="Y284" s="18"/>
      <c r="Z284" s="18"/>
      <c r="AA284" s="18"/>
      <c r="AB284" s="18"/>
      <c r="AC284" s="18"/>
      <c r="AD284" s="18"/>
      <c r="AE284" s="15"/>
      <c r="AF284" s="15"/>
    </row>
    <row r="285" spans="1:32" x14ac:dyDescent="0.25">
      <c r="A285" t="str">
        <f t="shared" ca="1" si="13"/>
        <v>20140825-000285--190001000000@LIBRARY.NASHVILLE.ORG</v>
      </c>
      <c r="B285" s="15" t="str">
        <f t="shared" si="15"/>
        <v/>
      </c>
      <c r="D285" s="16" t="str">
        <f t="shared" si="14"/>
        <v/>
      </c>
      <c r="E285" s="21"/>
      <c r="F285" s="7"/>
      <c r="G285" s="19"/>
      <c r="H285" s="17"/>
      <c r="I285" s="1"/>
      <c r="N285" s="1"/>
      <c r="O285" s="1"/>
      <c r="P285" s="18"/>
      <c r="Q285" s="18"/>
      <c r="R285" s="18"/>
      <c r="S285" s="18"/>
      <c r="T285" s="18"/>
      <c r="U285" s="18"/>
      <c r="V285" s="18"/>
      <c r="W285" s="18"/>
      <c r="X285" s="18"/>
      <c r="Y285" s="18"/>
      <c r="Z285" s="18"/>
      <c r="AA285" s="18"/>
      <c r="AB285" s="18"/>
      <c r="AC285" s="18"/>
      <c r="AD285" s="18"/>
      <c r="AE285" s="15"/>
      <c r="AF285" s="15"/>
    </row>
    <row r="286" spans="1:32" x14ac:dyDescent="0.25">
      <c r="A286" t="str">
        <f t="shared" ca="1" si="13"/>
        <v>20140825-000286--190001000000@LIBRARY.NASHVILLE.ORG</v>
      </c>
      <c r="B286" s="15" t="str">
        <f t="shared" si="15"/>
        <v/>
      </c>
      <c r="D286" s="16" t="str">
        <f t="shared" si="14"/>
        <v/>
      </c>
      <c r="E286" s="21"/>
      <c r="F286" s="7"/>
      <c r="G286" s="19"/>
      <c r="H286" s="17"/>
      <c r="I286" s="1"/>
      <c r="N286" s="1"/>
      <c r="O286" s="1"/>
      <c r="P286" s="18"/>
      <c r="Q286" s="18"/>
      <c r="R286" s="18"/>
      <c r="S286" s="18"/>
      <c r="T286" s="18"/>
      <c r="U286" s="18"/>
      <c r="V286" s="18"/>
      <c r="W286" s="18"/>
      <c r="X286" s="18"/>
      <c r="Y286" s="18"/>
      <c r="Z286" s="18"/>
      <c r="AA286" s="18"/>
      <c r="AB286" s="18"/>
      <c r="AC286" s="18"/>
      <c r="AD286" s="18"/>
      <c r="AE286" s="15"/>
      <c r="AF286" s="15"/>
    </row>
    <row r="287" spans="1:32" x14ac:dyDescent="0.25">
      <c r="A287" t="str">
        <f t="shared" ca="1" si="13"/>
        <v>20140825-000287--190001000000@LIBRARY.NASHVILLE.ORG</v>
      </c>
      <c r="B287" s="15" t="str">
        <f t="shared" si="15"/>
        <v/>
      </c>
      <c r="D287" s="16" t="str">
        <f t="shared" si="14"/>
        <v/>
      </c>
      <c r="E287" s="21"/>
      <c r="F287" s="7"/>
      <c r="G287" s="19"/>
      <c r="H287" s="17"/>
      <c r="I287" s="1"/>
      <c r="N287" s="1"/>
      <c r="O287" s="1"/>
      <c r="P287" s="18"/>
      <c r="Q287" s="18"/>
      <c r="R287" s="18"/>
      <c r="S287" s="18"/>
      <c r="T287" s="18"/>
      <c r="U287" s="18"/>
      <c r="V287" s="18"/>
      <c r="W287" s="18"/>
      <c r="X287" s="18"/>
      <c r="Y287" s="18"/>
      <c r="Z287" s="18"/>
      <c r="AA287" s="18"/>
      <c r="AB287" s="18"/>
      <c r="AC287" s="18"/>
      <c r="AD287" s="18"/>
      <c r="AE287" s="15"/>
      <c r="AF287" s="15"/>
    </row>
    <row r="288" spans="1:32" x14ac:dyDescent="0.25">
      <c r="A288" t="str">
        <f t="shared" ca="1" si="13"/>
        <v>20140825-000288--190001000000@LIBRARY.NASHVILLE.ORG</v>
      </c>
      <c r="B288" s="15" t="str">
        <f t="shared" si="15"/>
        <v/>
      </c>
      <c r="D288" s="16" t="str">
        <f t="shared" si="14"/>
        <v/>
      </c>
      <c r="E288" s="21"/>
      <c r="F288" s="7"/>
      <c r="G288" s="19"/>
      <c r="H288" s="17"/>
      <c r="I288" s="1"/>
      <c r="N288" s="1"/>
      <c r="O288" s="1"/>
      <c r="P288" s="18"/>
      <c r="Q288" s="18"/>
      <c r="R288" s="18"/>
      <c r="S288" s="18"/>
      <c r="T288" s="18"/>
      <c r="U288" s="18"/>
      <c r="V288" s="18"/>
      <c r="W288" s="18"/>
      <c r="X288" s="18"/>
      <c r="Y288" s="18"/>
      <c r="Z288" s="18"/>
      <c r="AA288" s="18"/>
      <c r="AB288" s="18"/>
      <c r="AC288" s="18"/>
      <c r="AD288" s="18"/>
      <c r="AE288" s="15"/>
      <c r="AF288" s="15"/>
    </row>
    <row r="289" spans="1:32" x14ac:dyDescent="0.25">
      <c r="A289" t="str">
        <f t="shared" ca="1" si="13"/>
        <v>20140825-000289--190001000000@LIBRARY.NASHVILLE.ORG</v>
      </c>
      <c r="B289" s="15" t="str">
        <f t="shared" si="15"/>
        <v/>
      </c>
      <c r="D289" s="16" t="str">
        <f t="shared" si="14"/>
        <v/>
      </c>
      <c r="E289" s="21"/>
      <c r="F289" s="7"/>
      <c r="G289" s="19"/>
      <c r="H289" s="17"/>
      <c r="I289" s="1"/>
      <c r="N289" s="1"/>
      <c r="O289" s="1"/>
      <c r="P289" s="18"/>
      <c r="Q289" s="18"/>
      <c r="R289" s="18"/>
      <c r="S289" s="18"/>
      <c r="T289" s="18"/>
      <c r="U289" s="18"/>
      <c r="V289" s="18"/>
      <c r="W289" s="18"/>
      <c r="X289" s="18"/>
      <c r="Y289" s="18"/>
      <c r="Z289" s="18"/>
      <c r="AA289" s="18"/>
      <c r="AB289" s="18"/>
      <c r="AC289" s="18"/>
      <c r="AD289" s="18"/>
      <c r="AE289" s="15"/>
      <c r="AF289" s="15"/>
    </row>
    <row r="290" spans="1:32" x14ac:dyDescent="0.25">
      <c r="A290" t="str">
        <f t="shared" ca="1" si="13"/>
        <v>20140825-000290--190001000000@LIBRARY.NASHVILLE.ORG</v>
      </c>
      <c r="B290" s="15" t="str">
        <f t="shared" si="15"/>
        <v/>
      </c>
      <c r="D290" s="16" t="str">
        <f t="shared" si="14"/>
        <v/>
      </c>
      <c r="E290" s="21"/>
      <c r="F290" s="7"/>
      <c r="G290" s="19"/>
      <c r="H290" s="17"/>
      <c r="I290" s="1"/>
      <c r="N290" s="1"/>
      <c r="O290" s="1"/>
      <c r="P290" s="18"/>
      <c r="Q290" s="18"/>
      <c r="R290" s="18"/>
      <c r="S290" s="18"/>
      <c r="T290" s="18"/>
      <c r="U290" s="18"/>
      <c r="V290" s="18"/>
      <c r="W290" s="18"/>
      <c r="X290" s="18"/>
      <c r="Y290" s="18"/>
      <c r="Z290" s="18"/>
      <c r="AA290" s="18"/>
      <c r="AB290" s="18"/>
      <c r="AC290" s="18"/>
      <c r="AD290" s="18"/>
      <c r="AE290" s="15"/>
      <c r="AF290" s="15"/>
    </row>
    <row r="291" spans="1:32" x14ac:dyDescent="0.25">
      <c r="A291" t="str">
        <f t="shared" ca="1" si="13"/>
        <v>20140825-000291--190001000000@LIBRARY.NASHVILLE.ORG</v>
      </c>
      <c r="B291" s="15" t="str">
        <f t="shared" si="15"/>
        <v/>
      </c>
      <c r="D291" s="16" t="str">
        <f t="shared" si="14"/>
        <v/>
      </c>
      <c r="E291" s="21"/>
      <c r="F291" s="7"/>
      <c r="G291" s="19"/>
      <c r="H291" s="17"/>
      <c r="I291" s="1"/>
      <c r="N291" s="1"/>
      <c r="O291" s="1"/>
      <c r="P291" s="18"/>
      <c r="Q291" s="18"/>
      <c r="R291" s="18"/>
      <c r="S291" s="18"/>
      <c r="T291" s="18"/>
      <c r="U291" s="18"/>
      <c r="V291" s="18"/>
      <c r="W291" s="18"/>
      <c r="X291" s="18"/>
      <c r="Y291" s="18"/>
      <c r="Z291" s="18"/>
      <c r="AA291" s="18"/>
      <c r="AB291" s="18"/>
      <c r="AC291" s="18"/>
      <c r="AD291" s="18"/>
      <c r="AE291" s="15"/>
      <c r="AF291" s="15"/>
    </row>
    <row r="292" spans="1:32" x14ac:dyDescent="0.25">
      <c r="A292" t="str">
        <f t="shared" ca="1" si="13"/>
        <v>20140825-000292--190001000000@LIBRARY.NASHVILLE.ORG</v>
      </c>
      <c r="B292" s="15" t="str">
        <f t="shared" si="15"/>
        <v/>
      </c>
      <c r="D292" s="16" t="str">
        <f t="shared" si="14"/>
        <v/>
      </c>
      <c r="E292" s="21"/>
      <c r="F292" s="7"/>
      <c r="G292" s="19"/>
      <c r="H292" s="17"/>
      <c r="I292" s="1"/>
      <c r="N292" s="1"/>
      <c r="O292" s="1"/>
      <c r="P292" s="18"/>
      <c r="Q292" s="18"/>
      <c r="R292" s="18"/>
      <c r="S292" s="18"/>
      <c r="T292" s="18"/>
      <c r="U292" s="18"/>
      <c r="V292" s="18"/>
      <c r="W292" s="18"/>
      <c r="X292" s="18"/>
      <c r="Y292" s="18"/>
      <c r="Z292" s="18"/>
      <c r="AA292" s="18"/>
      <c r="AB292" s="18"/>
      <c r="AC292" s="18"/>
      <c r="AD292" s="18"/>
      <c r="AE292" s="15"/>
      <c r="AF292" s="15"/>
    </row>
    <row r="293" spans="1:32" x14ac:dyDescent="0.25">
      <c r="A293" t="str">
        <f t="shared" ca="1" si="13"/>
        <v>20140825-000293--190001000000@LIBRARY.NASHVILLE.ORG</v>
      </c>
      <c r="B293" s="15" t="str">
        <f t="shared" si="15"/>
        <v/>
      </c>
      <c r="D293" s="16" t="str">
        <f t="shared" si="14"/>
        <v/>
      </c>
      <c r="E293" s="21"/>
      <c r="F293" s="7"/>
      <c r="G293" s="19"/>
      <c r="H293" s="17"/>
      <c r="I293" s="1"/>
      <c r="N293" s="1"/>
      <c r="O293" s="1"/>
      <c r="P293" s="18"/>
      <c r="Q293" s="18"/>
      <c r="R293" s="18"/>
      <c r="S293" s="18"/>
      <c r="T293" s="18"/>
      <c r="U293" s="18"/>
      <c r="V293" s="18"/>
      <c r="W293" s="18"/>
      <c r="X293" s="18"/>
      <c r="Y293" s="18"/>
      <c r="Z293" s="18"/>
      <c r="AA293" s="18"/>
      <c r="AB293" s="18"/>
      <c r="AC293" s="18"/>
      <c r="AD293" s="18"/>
      <c r="AE293" s="15"/>
      <c r="AF293" s="15"/>
    </row>
    <row r="294" spans="1:32" x14ac:dyDescent="0.25">
      <c r="A294" t="str">
        <f t="shared" ca="1" si="13"/>
        <v>20140825-000294--190001000000@LIBRARY.NASHVILLE.ORG</v>
      </c>
      <c r="B294" s="15" t="str">
        <f t="shared" si="15"/>
        <v/>
      </c>
      <c r="D294" s="16" t="str">
        <f t="shared" si="14"/>
        <v/>
      </c>
      <c r="E294" s="21"/>
      <c r="F294" s="7"/>
      <c r="G294" s="19"/>
      <c r="H294" s="17"/>
      <c r="I294" s="1"/>
      <c r="N294" s="1"/>
      <c r="O294" s="1"/>
      <c r="P294" s="18"/>
      <c r="Q294" s="18"/>
      <c r="R294" s="18"/>
      <c r="S294" s="18"/>
      <c r="T294" s="18"/>
      <c r="U294" s="18"/>
      <c r="V294" s="18"/>
      <c r="W294" s="18"/>
      <c r="X294" s="18"/>
      <c r="Y294" s="18"/>
      <c r="Z294" s="18"/>
      <c r="AA294" s="18"/>
      <c r="AB294" s="18"/>
      <c r="AC294" s="18"/>
      <c r="AD294" s="18"/>
      <c r="AE294" s="15"/>
      <c r="AF294" s="15"/>
    </row>
    <row r="295" spans="1:32" x14ac:dyDescent="0.25">
      <c r="A295" t="str">
        <f t="shared" ca="1" si="13"/>
        <v>20140825-000295--190001000000@LIBRARY.NASHVILLE.ORG</v>
      </c>
      <c r="B295" s="15" t="str">
        <f t="shared" si="15"/>
        <v/>
      </c>
      <c r="D295" s="16" t="str">
        <f t="shared" si="14"/>
        <v/>
      </c>
      <c r="E295" s="21"/>
      <c r="F295" s="7"/>
      <c r="G295" s="19"/>
      <c r="H295" s="17"/>
      <c r="I295" s="1"/>
      <c r="N295" s="1"/>
      <c r="O295" s="1"/>
      <c r="P295" s="18"/>
      <c r="Q295" s="18"/>
      <c r="R295" s="18"/>
      <c r="S295" s="18"/>
      <c r="T295" s="18"/>
      <c r="U295" s="18"/>
      <c r="V295" s="18"/>
      <c r="W295" s="18"/>
      <c r="X295" s="18"/>
      <c r="Y295" s="18"/>
      <c r="Z295" s="18"/>
      <c r="AA295" s="18"/>
      <c r="AB295" s="18"/>
      <c r="AC295" s="18"/>
      <c r="AD295" s="18"/>
      <c r="AE295" s="15"/>
      <c r="AF295" s="15"/>
    </row>
    <row r="296" spans="1:32" x14ac:dyDescent="0.25">
      <c r="A296" t="str">
        <f t="shared" ca="1" si="13"/>
        <v>20140825-000296--190001000000@LIBRARY.NASHVILLE.ORG</v>
      </c>
      <c r="B296" s="15" t="str">
        <f t="shared" si="15"/>
        <v/>
      </c>
      <c r="D296" s="16" t="str">
        <f t="shared" si="14"/>
        <v/>
      </c>
      <c r="E296" s="21"/>
      <c r="F296" s="7"/>
      <c r="G296" s="19"/>
      <c r="H296" s="17"/>
      <c r="I296" s="1"/>
      <c r="N296" s="1"/>
      <c r="O296" s="1"/>
      <c r="P296" s="18"/>
      <c r="Q296" s="18"/>
      <c r="R296" s="18"/>
      <c r="S296" s="18"/>
      <c r="T296" s="18"/>
      <c r="U296" s="18"/>
      <c r="V296" s="18"/>
      <c r="W296" s="18"/>
      <c r="X296" s="18"/>
      <c r="Y296" s="18"/>
      <c r="Z296" s="18"/>
      <c r="AA296" s="18"/>
      <c r="AB296" s="18"/>
      <c r="AC296" s="18"/>
      <c r="AD296" s="18"/>
      <c r="AE296" s="15"/>
      <c r="AF296" s="15"/>
    </row>
    <row r="297" spans="1:32" x14ac:dyDescent="0.25">
      <c r="A297" t="str">
        <f t="shared" ca="1" si="13"/>
        <v>20140825-000297--190001000000@LIBRARY.NASHVILLE.ORG</v>
      </c>
      <c r="B297" s="15" t="str">
        <f t="shared" si="15"/>
        <v/>
      </c>
      <c r="D297" s="16" t="str">
        <f t="shared" si="14"/>
        <v/>
      </c>
      <c r="E297" s="21"/>
      <c r="F297" s="7"/>
      <c r="G297" s="19"/>
      <c r="H297" s="17"/>
      <c r="I297" s="1"/>
      <c r="N297" s="1"/>
      <c r="O297" s="1"/>
      <c r="P297" s="18"/>
      <c r="Q297" s="18"/>
      <c r="R297" s="18"/>
      <c r="S297" s="18"/>
      <c r="T297" s="18"/>
      <c r="U297" s="18"/>
      <c r="V297" s="18"/>
      <c r="W297" s="18"/>
      <c r="X297" s="18"/>
      <c r="Y297" s="18"/>
      <c r="Z297" s="18"/>
      <c r="AA297" s="18"/>
      <c r="AB297" s="18"/>
      <c r="AC297" s="18"/>
      <c r="AD297" s="18"/>
      <c r="AE297" s="15"/>
      <c r="AF297" s="15"/>
    </row>
    <row r="298" spans="1:32" x14ac:dyDescent="0.25">
      <c r="A298" t="str">
        <f t="shared" ca="1" si="13"/>
        <v>20140825-000298--190001000000@LIBRARY.NASHVILLE.ORG</v>
      </c>
      <c r="B298" s="15" t="str">
        <f t="shared" si="15"/>
        <v/>
      </c>
      <c r="D298" s="16" t="str">
        <f t="shared" si="14"/>
        <v/>
      </c>
      <c r="E298" s="21"/>
      <c r="F298" s="7"/>
      <c r="G298" s="19"/>
      <c r="H298" s="17"/>
      <c r="I298" s="1"/>
      <c r="N298" s="1"/>
      <c r="O298" s="1"/>
      <c r="P298" s="18"/>
      <c r="Q298" s="18"/>
      <c r="R298" s="18"/>
      <c r="S298" s="18"/>
      <c r="T298" s="18"/>
      <c r="U298" s="18"/>
      <c r="V298" s="18"/>
      <c r="W298" s="18"/>
      <c r="X298" s="18"/>
      <c r="Y298" s="18"/>
      <c r="Z298" s="18"/>
      <c r="AA298" s="18"/>
      <c r="AB298" s="18"/>
      <c r="AC298" s="18"/>
      <c r="AD298" s="18"/>
      <c r="AE298" s="15"/>
      <c r="AF298" s="15"/>
    </row>
    <row r="299" spans="1:32" x14ac:dyDescent="0.25">
      <c r="A299" t="str">
        <f t="shared" ca="1" si="13"/>
        <v>20140825-000299--190001000000@LIBRARY.NASHVILLE.ORG</v>
      </c>
      <c r="B299" s="15" t="str">
        <f t="shared" si="15"/>
        <v/>
      </c>
      <c r="D299" s="16" t="str">
        <f t="shared" si="14"/>
        <v/>
      </c>
      <c r="E299" s="21"/>
      <c r="F299" s="7"/>
      <c r="G299" s="19"/>
      <c r="H299" s="17"/>
      <c r="I299" s="1"/>
      <c r="N299" s="1"/>
      <c r="O299" s="1"/>
      <c r="P299" s="18"/>
      <c r="Q299" s="18"/>
      <c r="R299" s="18"/>
      <c r="S299" s="18"/>
      <c r="T299" s="18"/>
      <c r="U299" s="18"/>
      <c r="V299" s="18"/>
      <c r="W299" s="18"/>
      <c r="X299" s="18"/>
      <c r="Y299" s="18"/>
      <c r="Z299" s="18"/>
      <c r="AA299" s="18"/>
      <c r="AB299" s="18"/>
      <c r="AC299" s="18"/>
      <c r="AD299" s="18"/>
      <c r="AE299" s="15"/>
      <c r="AF299" s="15"/>
    </row>
    <row r="300" spans="1:32" x14ac:dyDescent="0.25">
      <c r="A300" t="str">
        <f t="shared" ca="1" si="13"/>
        <v>20140825-000300--190001000000@LIBRARY.NASHVILLE.ORG</v>
      </c>
      <c r="B300" s="15" t="str">
        <f t="shared" si="15"/>
        <v/>
      </c>
      <c r="D300" s="16" t="str">
        <f t="shared" si="14"/>
        <v/>
      </c>
      <c r="E300" s="21"/>
      <c r="F300" s="7"/>
      <c r="G300" s="19"/>
      <c r="H300" s="17"/>
      <c r="I300" s="1"/>
      <c r="N300" s="1"/>
      <c r="O300" s="1"/>
      <c r="P300" s="18"/>
      <c r="Q300" s="18"/>
      <c r="R300" s="18"/>
      <c r="S300" s="18"/>
      <c r="T300" s="18"/>
      <c r="U300" s="18"/>
      <c r="V300" s="18"/>
      <c r="W300" s="18"/>
      <c r="X300" s="18"/>
      <c r="Y300" s="18"/>
      <c r="Z300" s="18"/>
      <c r="AA300" s="18"/>
      <c r="AB300" s="18"/>
      <c r="AC300" s="18"/>
      <c r="AD300" s="18"/>
      <c r="AE300" s="15"/>
      <c r="AF300" s="15"/>
    </row>
    <row r="301" spans="1:32" x14ac:dyDescent="0.25">
      <c r="A301" t="str">
        <f t="shared" ca="1" si="13"/>
        <v>20140825-000301--190001000000@LIBRARY.NASHVILLE.ORG</v>
      </c>
      <c r="B301" s="15" t="str">
        <f t="shared" si="15"/>
        <v/>
      </c>
      <c r="D301" s="16" t="str">
        <f t="shared" si="14"/>
        <v/>
      </c>
      <c r="E301" s="21"/>
      <c r="F301" s="7"/>
      <c r="G301" s="19"/>
      <c r="H301" s="17"/>
      <c r="I301" s="1"/>
      <c r="N301" s="1"/>
      <c r="O301" s="1"/>
      <c r="P301" s="18"/>
      <c r="Q301" s="18"/>
      <c r="R301" s="18"/>
      <c r="S301" s="18"/>
      <c r="T301" s="18"/>
      <c r="U301" s="18"/>
      <c r="V301" s="18"/>
      <c r="W301" s="18"/>
      <c r="X301" s="18"/>
      <c r="Y301" s="18"/>
      <c r="Z301" s="18"/>
      <c r="AA301" s="18"/>
      <c r="AB301" s="18"/>
      <c r="AC301" s="18"/>
      <c r="AD301" s="18"/>
      <c r="AE301" s="15"/>
      <c r="AF301" s="15"/>
    </row>
    <row r="302" spans="1:32" x14ac:dyDescent="0.25">
      <c r="A302" t="str">
        <f t="shared" ca="1" si="13"/>
        <v>20140825-000302--190001000000@LIBRARY.NASHVILLE.ORG</v>
      </c>
      <c r="B302" s="15" t="str">
        <f t="shared" si="15"/>
        <v/>
      </c>
      <c r="D302" s="16" t="str">
        <f t="shared" si="14"/>
        <v/>
      </c>
      <c r="E302" s="21"/>
      <c r="F302" s="7"/>
      <c r="G302" s="19"/>
      <c r="H302" s="17"/>
      <c r="I302" s="1"/>
      <c r="N302" s="1"/>
      <c r="O302" s="1"/>
      <c r="P302" s="18"/>
      <c r="Q302" s="18"/>
      <c r="R302" s="18"/>
      <c r="S302" s="18"/>
      <c r="T302" s="18"/>
      <c r="U302" s="18"/>
      <c r="V302" s="18"/>
      <c r="W302" s="18"/>
      <c r="X302" s="18"/>
      <c r="Y302" s="18"/>
      <c r="Z302" s="18"/>
      <c r="AA302" s="18"/>
      <c r="AB302" s="18"/>
      <c r="AC302" s="18"/>
      <c r="AD302" s="18"/>
      <c r="AE302" s="15"/>
      <c r="AF302" s="15"/>
    </row>
    <row r="303" spans="1:32" x14ac:dyDescent="0.25">
      <c r="A303" t="str">
        <f t="shared" ca="1" si="13"/>
        <v>20140825-000303--190001000000@LIBRARY.NASHVILLE.ORG</v>
      </c>
      <c r="B303" s="15" t="str">
        <f t="shared" si="15"/>
        <v/>
      </c>
      <c r="D303" s="16" t="str">
        <f t="shared" si="14"/>
        <v/>
      </c>
      <c r="E303" s="21"/>
      <c r="F303" s="7"/>
      <c r="G303" s="19"/>
      <c r="H303" s="17"/>
      <c r="I303" s="1"/>
      <c r="N303" s="1"/>
      <c r="O303" s="1"/>
      <c r="P303" s="18"/>
      <c r="Q303" s="18"/>
      <c r="R303" s="18"/>
      <c r="S303" s="18"/>
      <c r="T303" s="18"/>
      <c r="U303" s="18"/>
      <c r="V303" s="18"/>
      <c r="W303" s="18"/>
      <c r="X303" s="18"/>
      <c r="Y303" s="18"/>
      <c r="Z303" s="18"/>
      <c r="AA303" s="18"/>
      <c r="AB303" s="18"/>
      <c r="AC303" s="18"/>
      <c r="AD303" s="18"/>
      <c r="AE303" s="15"/>
      <c r="AF303" s="15"/>
    </row>
    <row r="304" spans="1:32" x14ac:dyDescent="0.25">
      <c r="A304" t="str">
        <f t="shared" ca="1" si="13"/>
        <v>20140825-000304--190001000000@LIBRARY.NASHVILLE.ORG</v>
      </c>
      <c r="B304" s="15" t="str">
        <f t="shared" si="15"/>
        <v/>
      </c>
      <c r="D304" s="16" t="str">
        <f t="shared" si="14"/>
        <v/>
      </c>
      <c r="E304" s="21"/>
      <c r="F304" s="7"/>
      <c r="G304" s="19"/>
      <c r="H304" s="17"/>
      <c r="I304" s="1"/>
      <c r="N304" s="1"/>
      <c r="O304" s="1"/>
      <c r="P304" s="18"/>
      <c r="Q304" s="18"/>
      <c r="R304" s="18"/>
      <c r="S304" s="18"/>
      <c r="T304" s="18"/>
      <c r="U304" s="18"/>
      <c r="V304" s="18"/>
      <c r="W304" s="18"/>
      <c r="X304" s="18"/>
      <c r="Y304" s="18"/>
      <c r="Z304" s="18"/>
      <c r="AA304" s="18"/>
      <c r="AB304" s="18"/>
      <c r="AC304" s="18"/>
      <c r="AD304" s="18"/>
      <c r="AE304" s="15"/>
      <c r="AF304" s="15"/>
    </row>
    <row r="305" spans="1:32" x14ac:dyDescent="0.25">
      <c r="A305" t="str">
        <f t="shared" ca="1" si="13"/>
        <v>20140825-000305--190001000000@LIBRARY.NASHVILLE.ORG</v>
      </c>
      <c r="B305" s="15" t="str">
        <f t="shared" si="15"/>
        <v/>
      </c>
      <c r="D305" s="16" t="str">
        <f t="shared" si="14"/>
        <v/>
      </c>
      <c r="E305" s="21"/>
      <c r="F305" s="7"/>
      <c r="G305" s="19"/>
      <c r="H305" s="17"/>
      <c r="I305" s="1"/>
      <c r="N305" s="1"/>
      <c r="O305" s="1"/>
      <c r="P305" s="18"/>
      <c r="Q305" s="18"/>
      <c r="R305" s="18"/>
      <c r="S305" s="18"/>
      <c r="T305" s="18"/>
      <c r="U305" s="18"/>
      <c r="V305" s="18"/>
      <c r="W305" s="18"/>
      <c r="X305" s="18"/>
      <c r="Y305" s="18"/>
      <c r="Z305" s="18"/>
      <c r="AA305" s="18"/>
      <c r="AB305" s="18"/>
      <c r="AC305" s="18"/>
      <c r="AD305" s="18"/>
      <c r="AE305" s="15"/>
      <c r="AF305" s="15"/>
    </row>
    <row r="306" spans="1:32" x14ac:dyDescent="0.25">
      <c r="A306" t="str">
        <f t="shared" ca="1" si="13"/>
        <v>20140825-000306--190001000000@LIBRARY.NASHVILLE.ORG</v>
      </c>
      <c r="B306" s="15" t="str">
        <f t="shared" si="15"/>
        <v/>
      </c>
      <c r="D306" s="16" t="str">
        <f t="shared" si="14"/>
        <v/>
      </c>
      <c r="E306" s="21"/>
      <c r="F306" s="7"/>
      <c r="G306" s="19"/>
      <c r="H306" s="17"/>
      <c r="I306" s="1"/>
      <c r="N306" s="1"/>
      <c r="O306" s="1"/>
      <c r="P306" s="18"/>
      <c r="Q306" s="18"/>
      <c r="R306" s="18"/>
      <c r="S306" s="18"/>
      <c r="T306" s="18"/>
      <c r="U306" s="18"/>
      <c r="V306" s="18"/>
      <c r="W306" s="18"/>
      <c r="X306" s="18"/>
      <c r="Y306" s="18"/>
      <c r="Z306" s="18"/>
      <c r="AA306" s="18"/>
      <c r="AB306" s="18"/>
      <c r="AC306" s="18"/>
      <c r="AD306" s="18"/>
      <c r="AE306" s="15"/>
      <c r="AF306" s="15"/>
    </row>
    <row r="307" spans="1:32" x14ac:dyDescent="0.25">
      <c r="A307" t="str">
        <f t="shared" ca="1" si="13"/>
        <v>20140825-000307--190001000000@LIBRARY.NASHVILLE.ORG</v>
      </c>
      <c r="B307" s="15" t="str">
        <f t="shared" si="15"/>
        <v/>
      </c>
      <c r="D307" s="16" t="str">
        <f t="shared" si="14"/>
        <v/>
      </c>
      <c r="E307" s="21"/>
      <c r="F307" s="7"/>
      <c r="G307" s="19"/>
      <c r="H307" s="17"/>
      <c r="I307" s="1"/>
      <c r="N307" s="1"/>
      <c r="O307" s="1"/>
      <c r="P307" s="18"/>
      <c r="Q307" s="18"/>
      <c r="R307" s="18"/>
      <c r="S307" s="18"/>
      <c r="T307" s="18"/>
      <c r="U307" s="18"/>
      <c r="V307" s="18"/>
      <c r="W307" s="18"/>
      <c r="X307" s="18"/>
      <c r="Y307" s="18"/>
      <c r="Z307" s="18"/>
      <c r="AA307" s="18"/>
      <c r="AB307" s="18"/>
      <c r="AC307" s="18"/>
      <c r="AD307" s="18"/>
      <c r="AE307" s="15"/>
      <c r="AF307" s="15"/>
    </row>
    <row r="308" spans="1:32" x14ac:dyDescent="0.25">
      <c r="A308" t="str">
        <f t="shared" ca="1" si="13"/>
        <v>20140825-000308--190001000000@LIBRARY.NASHVILLE.ORG</v>
      </c>
      <c r="B308" s="15" t="str">
        <f t="shared" si="15"/>
        <v/>
      </c>
      <c r="D308" s="16" t="str">
        <f t="shared" si="14"/>
        <v/>
      </c>
      <c r="E308" s="21"/>
      <c r="F308" s="7"/>
      <c r="G308" s="19"/>
      <c r="H308" s="17"/>
      <c r="I308" s="1"/>
      <c r="N308" s="1"/>
      <c r="O308" s="1"/>
      <c r="P308" s="18"/>
      <c r="Q308" s="18"/>
      <c r="R308" s="18"/>
      <c r="S308" s="18"/>
      <c r="T308" s="18"/>
      <c r="U308" s="18"/>
      <c r="V308" s="18"/>
      <c r="W308" s="18"/>
      <c r="X308" s="18"/>
      <c r="Y308" s="18"/>
      <c r="Z308" s="18"/>
      <c r="AA308" s="18"/>
      <c r="AB308" s="18"/>
      <c r="AC308" s="18"/>
      <c r="AD308" s="18"/>
      <c r="AE308" s="15"/>
      <c r="AF308" s="15"/>
    </row>
    <row r="309" spans="1:32" x14ac:dyDescent="0.25">
      <c r="A309" t="str">
        <f t="shared" ca="1" si="13"/>
        <v>20140825-000309--190001000000@LIBRARY.NASHVILLE.ORG</v>
      </c>
      <c r="B309" s="15" t="str">
        <f t="shared" si="15"/>
        <v/>
      </c>
      <c r="D309" s="16" t="str">
        <f t="shared" si="14"/>
        <v/>
      </c>
      <c r="E309" s="21"/>
      <c r="F309" s="7"/>
      <c r="G309" s="19"/>
      <c r="H309" s="17"/>
      <c r="I309" s="1"/>
      <c r="N309" s="1"/>
      <c r="O309" s="1"/>
      <c r="P309" s="18"/>
      <c r="Q309" s="18"/>
      <c r="R309" s="18"/>
      <c r="S309" s="18"/>
      <c r="T309" s="18"/>
      <c r="U309" s="18"/>
      <c r="V309" s="18"/>
      <c r="W309" s="18"/>
      <c r="X309" s="18"/>
      <c r="Y309" s="18"/>
      <c r="Z309" s="18"/>
      <c r="AA309" s="18"/>
      <c r="AB309" s="18"/>
      <c r="AC309" s="18"/>
      <c r="AD309" s="18"/>
      <c r="AE309" s="15"/>
      <c r="AF309" s="15"/>
    </row>
    <row r="310" spans="1:32" x14ac:dyDescent="0.25">
      <c r="A310" t="str">
        <f t="shared" ca="1" si="13"/>
        <v>20140825-000310--190001000000@LIBRARY.NASHVILLE.ORG</v>
      </c>
      <c r="B310" s="15" t="str">
        <f t="shared" si="15"/>
        <v/>
      </c>
      <c r="D310" s="16" t="str">
        <f t="shared" si="14"/>
        <v/>
      </c>
      <c r="E310" s="21"/>
      <c r="F310" s="7"/>
      <c r="G310" s="19"/>
      <c r="H310" s="17"/>
      <c r="I310" s="1"/>
      <c r="N310" s="1"/>
      <c r="O310" s="1"/>
      <c r="P310" s="18"/>
      <c r="Q310" s="18"/>
      <c r="R310" s="18"/>
      <c r="S310" s="18"/>
      <c r="T310" s="18"/>
      <c r="U310" s="18"/>
      <c r="V310" s="18"/>
      <c r="W310" s="18"/>
      <c r="X310" s="18"/>
      <c r="Y310" s="18"/>
      <c r="Z310" s="18"/>
      <c r="AA310" s="18"/>
      <c r="AB310" s="18"/>
      <c r="AC310" s="18"/>
      <c r="AD310" s="18"/>
      <c r="AE310" s="15"/>
      <c r="AF310" s="15"/>
    </row>
    <row r="311" spans="1:32" x14ac:dyDescent="0.25">
      <c r="A311" t="str">
        <f t="shared" ca="1" si="13"/>
        <v>20140825-000311--190001000000@LIBRARY.NASHVILLE.ORG</v>
      </c>
      <c r="B311" s="15" t="str">
        <f t="shared" si="15"/>
        <v/>
      </c>
      <c r="D311" s="16" t="str">
        <f t="shared" si="14"/>
        <v/>
      </c>
      <c r="E311" s="21"/>
      <c r="F311" s="7"/>
      <c r="G311" s="19"/>
      <c r="H311" s="17"/>
      <c r="I311" s="1"/>
      <c r="N311" s="1"/>
      <c r="O311" s="1"/>
      <c r="P311" s="18"/>
      <c r="Q311" s="18"/>
      <c r="R311" s="18"/>
      <c r="S311" s="18"/>
      <c r="T311" s="18"/>
      <c r="U311" s="18"/>
      <c r="V311" s="18"/>
      <c r="W311" s="18"/>
      <c r="X311" s="18"/>
      <c r="Y311" s="18"/>
      <c r="Z311" s="18"/>
      <c r="AA311" s="18"/>
      <c r="AB311" s="18"/>
      <c r="AC311" s="18"/>
      <c r="AD311" s="18"/>
      <c r="AE311" s="15"/>
      <c r="AF311" s="15"/>
    </row>
    <row r="312" spans="1:32" x14ac:dyDescent="0.25">
      <c r="A312" t="str">
        <f t="shared" ca="1" si="13"/>
        <v>20140825-000312--190001000000@LIBRARY.NASHVILLE.ORG</v>
      </c>
      <c r="B312" s="15" t="str">
        <f t="shared" si="15"/>
        <v/>
      </c>
      <c r="D312" s="16" t="str">
        <f t="shared" si="14"/>
        <v/>
      </c>
      <c r="E312" s="21"/>
      <c r="F312" s="7"/>
      <c r="G312" s="19"/>
      <c r="H312" s="17"/>
      <c r="I312" s="1"/>
      <c r="N312" s="1"/>
      <c r="O312" s="1"/>
      <c r="P312" s="18"/>
      <c r="Q312" s="18"/>
      <c r="R312" s="18"/>
      <c r="S312" s="18"/>
      <c r="T312" s="18"/>
      <c r="U312" s="18"/>
      <c r="V312" s="18"/>
      <c r="W312" s="18"/>
      <c r="X312" s="18"/>
      <c r="Y312" s="18"/>
      <c r="Z312" s="18"/>
      <c r="AA312" s="18"/>
      <c r="AB312" s="18"/>
      <c r="AC312" s="18"/>
      <c r="AD312" s="18"/>
      <c r="AE312" s="15"/>
      <c r="AF312" s="15"/>
    </row>
    <row r="313" spans="1:32" x14ac:dyDescent="0.25">
      <c r="A313" t="str">
        <f t="shared" ca="1" si="13"/>
        <v>20140825-000313--190001000000@LIBRARY.NASHVILLE.ORG</v>
      </c>
      <c r="B313" s="15" t="str">
        <f t="shared" si="15"/>
        <v/>
      </c>
      <c r="D313" s="16" t="str">
        <f t="shared" si="14"/>
        <v/>
      </c>
      <c r="E313" s="21"/>
      <c r="F313" s="7"/>
      <c r="G313" s="19"/>
      <c r="H313" s="17"/>
      <c r="I313" s="1"/>
      <c r="N313" s="1"/>
      <c r="O313" s="1"/>
      <c r="P313" s="18"/>
      <c r="Q313" s="18"/>
      <c r="R313" s="18"/>
      <c r="S313" s="18"/>
      <c r="T313" s="18"/>
      <c r="U313" s="18"/>
      <c r="V313" s="18"/>
      <c r="W313" s="18"/>
      <c r="X313" s="18"/>
      <c r="Y313" s="18"/>
      <c r="Z313" s="18"/>
      <c r="AA313" s="18"/>
      <c r="AB313" s="18"/>
      <c r="AC313" s="18"/>
      <c r="AD313" s="18"/>
      <c r="AE313" s="15"/>
      <c r="AF313" s="15"/>
    </row>
    <row r="314" spans="1:32" x14ac:dyDescent="0.25">
      <c r="A314" t="str">
        <f t="shared" ca="1" si="13"/>
        <v>20140825-000314--190001000000@LIBRARY.NASHVILLE.ORG</v>
      </c>
      <c r="B314" s="15" t="str">
        <f t="shared" si="15"/>
        <v/>
      </c>
      <c r="D314" s="16" t="str">
        <f t="shared" si="14"/>
        <v/>
      </c>
      <c r="E314" s="21"/>
      <c r="F314" s="7"/>
      <c r="G314" s="19"/>
      <c r="H314" s="17"/>
      <c r="I314" s="1"/>
      <c r="N314" s="1"/>
      <c r="O314" s="1"/>
      <c r="P314" s="18"/>
      <c r="Q314" s="18"/>
      <c r="R314" s="18"/>
      <c r="S314" s="18"/>
      <c r="T314" s="18"/>
      <c r="U314" s="18"/>
      <c r="V314" s="18"/>
      <c r="W314" s="18"/>
      <c r="X314" s="18"/>
      <c r="Y314" s="18"/>
      <c r="Z314" s="18"/>
      <c r="AA314" s="18"/>
      <c r="AB314" s="18"/>
      <c r="AC314" s="18"/>
      <c r="AD314" s="18"/>
      <c r="AE314" s="15"/>
      <c r="AF314" s="15"/>
    </row>
    <row r="315" spans="1:32" x14ac:dyDescent="0.25">
      <c r="A315" t="str">
        <f t="shared" ca="1" si="13"/>
        <v>20140825-000315--190001000000@LIBRARY.NASHVILLE.ORG</v>
      </c>
      <c r="B315" s="15" t="str">
        <f t="shared" si="15"/>
        <v/>
      </c>
      <c r="D315" s="16" t="str">
        <f t="shared" si="14"/>
        <v/>
      </c>
      <c r="E315" s="21"/>
      <c r="F315" s="7"/>
      <c r="G315" s="19"/>
      <c r="H315" s="17"/>
      <c r="I315" s="1"/>
      <c r="N315" s="1"/>
      <c r="O315" s="1"/>
      <c r="P315" s="18"/>
      <c r="Q315" s="18"/>
      <c r="R315" s="18"/>
      <c r="S315" s="18"/>
      <c r="T315" s="18"/>
      <c r="U315" s="18"/>
      <c r="V315" s="18"/>
      <c r="W315" s="18"/>
      <c r="X315" s="18"/>
      <c r="Y315" s="18"/>
      <c r="Z315" s="18"/>
      <c r="AA315" s="18"/>
      <c r="AB315" s="18"/>
      <c r="AC315" s="18"/>
      <c r="AD315" s="18"/>
      <c r="AE315" s="15"/>
      <c r="AF315" s="15"/>
    </row>
    <row r="316" spans="1:32" x14ac:dyDescent="0.25">
      <c r="A316" t="str">
        <f t="shared" ca="1" si="13"/>
        <v>20140825-000316--190001000000@LIBRARY.NASHVILLE.ORG</v>
      </c>
      <c r="B316" s="15" t="str">
        <f t="shared" si="15"/>
        <v/>
      </c>
      <c r="D316" s="16" t="str">
        <f t="shared" si="14"/>
        <v/>
      </c>
      <c r="E316" s="21"/>
      <c r="F316" s="7"/>
      <c r="G316" s="19"/>
      <c r="H316" s="17"/>
      <c r="I316" s="1"/>
      <c r="N316" s="1"/>
      <c r="O316" s="1"/>
      <c r="P316" s="18"/>
      <c r="Q316" s="18"/>
      <c r="R316" s="18"/>
      <c r="S316" s="18"/>
      <c r="T316" s="18"/>
      <c r="U316" s="18"/>
      <c r="V316" s="18"/>
      <c r="W316" s="18"/>
      <c r="X316" s="18"/>
      <c r="Y316" s="18"/>
      <c r="Z316" s="18"/>
      <c r="AA316" s="18"/>
      <c r="AB316" s="18"/>
      <c r="AC316" s="18"/>
      <c r="AD316" s="18"/>
      <c r="AE316" s="15"/>
      <c r="AF316" s="15"/>
    </row>
    <row r="317" spans="1:32" x14ac:dyDescent="0.25">
      <c r="A317" t="str">
        <f t="shared" ca="1" si="13"/>
        <v>20140825-000317--190001000000@LIBRARY.NASHVILLE.ORG</v>
      </c>
      <c r="B317" s="15" t="str">
        <f t="shared" si="15"/>
        <v/>
      </c>
      <c r="D317" s="16" t="str">
        <f t="shared" si="14"/>
        <v/>
      </c>
      <c r="E317" s="21"/>
      <c r="F317" s="7"/>
      <c r="G317" s="19"/>
      <c r="H317" s="17"/>
      <c r="I317" s="1"/>
      <c r="N317" s="1"/>
      <c r="O317" s="1"/>
      <c r="P317" s="18"/>
      <c r="Q317" s="18"/>
      <c r="R317" s="18"/>
      <c r="S317" s="18"/>
      <c r="T317" s="18"/>
      <c r="U317" s="18"/>
      <c r="V317" s="18"/>
      <c r="W317" s="18"/>
      <c r="X317" s="18"/>
      <c r="Y317" s="18"/>
      <c r="Z317" s="18"/>
      <c r="AA317" s="18"/>
      <c r="AB317" s="18"/>
      <c r="AC317" s="18"/>
      <c r="AD317" s="18"/>
      <c r="AE317" s="15"/>
      <c r="AF317" s="15"/>
    </row>
    <row r="318" spans="1:32" x14ac:dyDescent="0.25">
      <c r="A318" t="str">
        <f t="shared" ca="1" si="13"/>
        <v>20140825-000318--190001000000@LIBRARY.NASHVILLE.ORG</v>
      </c>
      <c r="B318" s="15" t="str">
        <f t="shared" si="15"/>
        <v/>
      </c>
      <c r="D318" s="16" t="str">
        <f t="shared" si="14"/>
        <v/>
      </c>
      <c r="E318" s="21"/>
      <c r="F318" s="7"/>
      <c r="G318" s="19"/>
      <c r="H318" s="17"/>
      <c r="I318" s="1"/>
      <c r="N318" s="1"/>
      <c r="O318" s="1"/>
      <c r="P318" s="18"/>
      <c r="Q318" s="18"/>
      <c r="R318" s="18"/>
      <c r="S318" s="18"/>
      <c r="T318" s="18"/>
      <c r="U318" s="18"/>
      <c r="V318" s="18"/>
      <c r="W318" s="18"/>
      <c r="X318" s="18"/>
      <c r="Y318" s="18"/>
      <c r="Z318" s="18"/>
      <c r="AA318" s="18"/>
      <c r="AB318" s="18"/>
      <c r="AC318" s="18"/>
      <c r="AD318" s="18"/>
      <c r="AE318" s="15"/>
      <c r="AF318" s="15"/>
    </row>
    <row r="319" spans="1:32" x14ac:dyDescent="0.25">
      <c r="A319" t="str">
        <f t="shared" ca="1" si="13"/>
        <v>20140825-000319--190001000000@LIBRARY.NASHVILLE.ORG</v>
      </c>
      <c r="B319" s="15" t="str">
        <f t="shared" si="15"/>
        <v/>
      </c>
      <c r="D319" s="16" t="str">
        <f t="shared" si="14"/>
        <v/>
      </c>
      <c r="E319" s="21"/>
      <c r="F319" s="7"/>
      <c r="G319" s="19"/>
      <c r="H319" s="17"/>
      <c r="I319" s="1"/>
      <c r="N319" s="1"/>
      <c r="O319" s="1"/>
      <c r="P319" s="18"/>
      <c r="Q319" s="18"/>
      <c r="R319" s="18"/>
      <c r="S319" s="18"/>
      <c r="T319" s="18"/>
      <c r="U319" s="18"/>
      <c r="V319" s="18"/>
      <c r="W319" s="18"/>
      <c r="X319" s="18"/>
      <c r="Y319" s="18"/>
      <c r="Z319" s="18"/>
      <c r="AA319" s="18"/>
      <c r="AB319" s="18"/>
      <c r="AC319" s="18"/>
      <c r="AD319" s="18"/>
      <c r="AE319" s="15"/>
      <c r="AF319" s="15"/>
    </row>
    <row r="320" spans="1:32" x14ac:dyDescent="0.25">
      <c r="A320" t="str">
        <f t="shared" ca="1" si="13"/>
        <v>20140825-000320--190001000000@LIBRARY.NASHVILLE.ORG</v>
      </c>
      <c r="B320" s="15" t="str">
        <f t="shared" si="15"/>
        <v/>
      </c>
      <c r="D320" s="16" t="str">
        <f t="shared" si="14"/>
        <v/>
      </c>
      <c r="E320" s="21"/>
      <c r="F320" s="7"/>
      <c r="G320" s="19"/>
      <c r="H320" s="17"/>
      <c r="I320" s="1"/>
      <c r="N320" s="1"/>
      <c r="O320" s="1"/>
      <c r="P320" s="18"/>
      <c r="Q320" s="18"/>
      <c r="R320" s="18"/>
      <c r="S320" s="18"/>
      <c r="T320" s="18"/>
      <c r="U320" s="18"/>
      <c r="V320" s="18"/>
      <c r="W320" s="18"/>
      <c r="X320" s="18"/>
      <c r="Y320" s="18"/>
      <c r="Z320" s="18"/>
      <c r="AA320" s="18"/>
      <c r="AB320" s="18"/>
      <c r="AC320" s="18"/>
      <c r="AD320" s="18"/>
      <c r="AE320" s="15"/>
      <c r="AF320" s="15"/>
    </row>
    <row r="321" spans="1:32" x14ac:dyDescent="0.25">
      <c r="A321" t="str">
        <f t="shared" ca="1" si="13"/>
        <v>20140825-000321--190001000000@LIBRARY.NASHVILLE.ORG</v>
      </c>
      <c r="B321" s="15" t="str">
        <f t="shared" si="15"/>
        <v/>
      </c>
      <c r="D321" s="16" t="str">
        <f t="shared" si="14"/>
        <v/>
      </c>
      <c r="E321" s="21"/>
      <c r="F321" s="7"/>
      <c r="G321" s="19"/>
      <c r="H321" s="17"/>
      <c r="I321" s="1"/>
      <c r="N321" s="1"/>
      <c r="O321" s="1"/>
      <c r="P321" s="18"/>
      <c r="Q321" s="18"/>
      <c r="R321" s="18"/>
      <c r="S321" s="18"/>
      <c r="T321" s="18"/>
      <c r="U321" s="18"/>
      <c r="V321" s="18"/>
      <c r="W321" s="18"/>
      <c r="X321" s="18"/>
      <c r="Y321" s="18"/>
      <c r="Z321" s="18"/>
      <c r="AA321" s="18"/>
      <c r="AB321" s="18"/>
      <c r="AC321" s="18"/>
      <c r="AD321" s="18"/>
      <c r="AE321" s="15"/>
      <c r="AF321" s="15"/>
    </row>
    <row r="322" spans="1:32" x14ac:dyDescent="0.25">
      <c r="A322" t="str">
        <f t="shared" ref="A322:A385" ca="1" si="16">UPPER(CONCATENATE(TEXT(TODAY(),"yyyymmdd"),"-",TEXT(ROW(),"000000"),"-",SUBSTITUTE(B322," ",""),"-",TEXT(C322,"yyyymmdd"),TEXT(E322,"hhmm"),"@library.nashville.org"))</f>
        <v>20140825-000322--190001000000@LIBRARY.NASHVILLE.ORG</v>
      </c>
      <c r="B322" s="15" t="str">
        <f t="shared" si="15"/>
        <v/>
      </c>
      <c r="D322" s="16" t="str">
        <f t="shared" si="14"/>
        <v/>
      </c>
      <c r="E322" s="21"/>
      <c r="F322" s="7"/>
      <c r="G322" s="19"/>
      <c r="H322" s="17"/>
      <c r="I322" s="1"/>
      <c r="N322" s="1"/>
      <c r="O322" s="1"/>
      <c r="P322" s="18"/>
      <c r="Q322" s="18"/>
      <c r="R322" s="18"/>
      <c r="S322" s="18"/>
      <c r="T322" s="18"/>
      <c r="U322" s="18"/>
      <c r="V322" s="18"/>
      <c r="W322" s="18"/>
      <c r="X322" s="18"/>
      <c r="Y322" s="18"/>
      <c r="Z322" s="18"/>
      <c r="AA322" s="18"/>
      <c r="AB322" s="18"/>
      <c r="AC322" s="18"/>
      <c r="AD322" s="18"/>
      <c r="AE322" s="15"/>
      <c r="AF322" s="15"/>
    </row>
    <row r="323" spans="1:32" x14ac:dyDescent="0.25">
      <c r="A323" t="str">
        <f t="shared" ca="1" si="16"/>
        <v>20140825-000323--190001000000@LIBRARY.NASHVILLE.ORG</v>
      </c>
      <c r="B323" s="15" t="str">
        <f t="shared" si="15"/>
        <v/>
      </c>
      <c r="D323" s="16" t="str">
        <f t="shared" ref="D323:D386" si="17">IF(C323=0,"",TEXT($C323,"dddd"))</f>
        <v/>
      </c>
      <c r="E323" s="21"/>
      <c r="F323" s="7"/>
      <c r="G323" s="19"/>
      <c r="H323" s="17"/>
      <c r="I323" s="1"/>
      <c r="N323" s="1"/>
      <c r="O323" s="1"/>
      <c r="P323" s="18"/>
      <c r="Q323" s="18"/>
      <c r="R323" s="18"/>
      <c r="S323" s="18"/>
      <c r="T323" s="18"/>
      <c r="U323" s="18"/>
      <c r="V323" s="18"/>
      <c r="W323" s="18"/>
      <c r="X323" s="18"/>
      <c r="Y323" s="18"/>
      <c r="Z323" s="18"/>
      <c r="AA323" s="18"/>
      <c r="AB323" s="18"/>
      <c r="AC323" s="18"/>
      <c r="AD323" s="18"/>
      <c r="AE323" s="15"/>
      <c r="AF323" s="15"/>
    </row>
    <row r="324" spans="1:32" x14ac:dyDescent="0.25">
      <c r="A324" t="str">
        <f t="shared" ca="1" si="16"/>
        <v>20140825-000324--190001000000@LIBRARY.NASHVILLE.ORG</v>
      </c>
      <c r="B324" s="15" t="str">
        <f t="shared" si="15"/>
        <v/>
      </c>
      <c r="D324" s="16" t="str">
        <f t="shared" si="17"/>
        <v/>
      </c>
      <c r="E324" s="21"/>
      <c r="F324" s="7"/>
      <c r="G324" s="19"/>
      <c r="H324" s="17"/>
      <c r="I324" s="1"/>
      <c r="N324" s="1"/>
      <c r="O324" s="1"/>
      <c r="P324" s="18"/>
      <c r="Q324" s="18"/>
      <c r="R324" s="18"/>
      <c r="S324" s="18"/>
      <c r="T324" s="18"/>
      <c r="U324" s="18"/>
      <c r="V324" s="18"/>
      <c r="W324" s="18"/>
      <c r="X324" s="18"/>
      <c r="Y324" s="18"/>
      <c r="Z324" s="18"/>
      <c r="AA324" s="18"/>
      <c r="AB324" s="18"/>
      <c r="AC324" s="18"/>
      <c r="AD324" s="18"/>
      <c r="AE324" s="15"/>
      <c r="AF324" s="15"/>
    </row>
    <row r="325" spans="1:32" x14ac:dyDescent="0.25">
      <c r="A325" t="str">
        <f t="shared" ca="1" si="16"/>
        <v>20140825-000325--190001000000@LIBRARY.NASHVILLE.ORG</v>
      </c>
      <c r="B325" s="15" t="str">
        <f t="shared" si="15"/>
        <v/>
      </c>
      <c r="D325" s="16" t="str">
        <f t="shared" si="17"/>
        <v/>
      </c>
      <c r="E325" s="21"/>
      <c r="F325" s="7"/>
      <c r="G325" s="19"/>
      <c r="H325" s="17"/>
      <c r="I325" s="1"/>
      <c r="N325" s="1"/>
      <c r="O325" s="1"/>
      <c r="P325" s="18"/>
      <c r="Q325" s="18"/>
      <c r="R325" s="18"/>
      <c r="S325" s="18"/>
      <c r="T325" s="18"/>
      <c r="U325" s="18"/>
      <c r="V325" s="18"/>
      <c r="W325" s="18"/>
      <c r="X325" s="18"/>
      <c r="Y325" s="18"/>
      <c r="Z325" s="18"/>
      <c r="AA325" s="18"/>
      <c r="AB325" s="18"/>
      <c r="AC325" s="18"/>
      <c r="AD325" s="18"/>
      <c r="AE325" s="15"/>
      <c r="AF325" s="15"/>
    </row>
    <row r="326" spans="1:32" x14ac:dyDescent="0.25">
      <c r="A326" t="str">
        <f t="shared" ca="1" si="16"/>
        <v>20140825-000326--190001000000@LIBRARY.NASHVILLE.ORG</v>
      </c>
      <c r="B326" s="15" t="str">
        <f t="shared" si="15"/>
        <v/>
      </c>
      <c r="D326" s="16" t="str">
        <f t="shared" si="17"/>
        <v/>
      </c>
      <c r="E326" s="21"/>
      <c r="F326" s="7"/>
      <c r="G326" s="19"/>
      <c r="H326" s="17"/>
      <c r="I326" s="1"/>
      <c r="N326" s="1"/>
      <c r="O326" s="1"/>
      <c r="P326" s="18"/>
      <c r="Q326" s="18"/>
      <c r="R326" s="18"/>
      <c r="S326" s="18"/>
      <c r="T326" s="18"/>
      <c r="U326" s="18"/>
      <c r="V326" s="18"/>
      <c r="W326" s="18"/>
      <c r="X326" s="18"/>
      <c r="Y326" s="18"/>
      <c r="Z326" s="18"/>
      <c r="AA326" s="18"/>
      <c r="AB326" s="18"/>
      <c r="AC326" s="18"/>
      <c r="AD326" s="18"/>
      <c r="AE326" s="15"/>
      <c r="AF326" s="15"/>
    </row>
    <row r="327" spans="1:32" x14ac:dyDescent="0.25">
      <c r="A327" t="str">
        <f t="shared" ca="1" si="16"/>
        <v>20140825-000327--190001000000@LIBRARY.NASHVILLE.ORG</v>
      </c>
      <c r="B327" s="15" t="str">
        <f t="shared" si="15"/>
        <v/>
      </c>
      <c r="D327" s="16" t="str">
        <f t="shared" si="17"/>
        <v/>
      </c>
      <c r="E327" s="21"/>
      <c r="F327" s="7"/>
      <c r="G327" s="19"/>
      <c r="H327" s="17"/>
      <c r="I327" s="1"/>
      <c r="N327" s="1"/>
      <c r="O327" s="1"/>
      <c r="P327" s="18"/>
      <c r="Q327" s="18"/>
      <c r="R327" s="18"/>
      <c r="S327" s="18"/>
      <c r="T327" s="18"/>
      <c r="U327" s="18"/>
      <c r="V327" s="18"/>
      <c r="W327" s="18"/>
      <c r="X327" s="18"/>
      <c r="Y327" s="18"/>
      <c r="Z327" s="18"/>
      <c r="AA327" s="18"/>
      <c r="AB327" s="18"/>
      <c r="AC327" s="18"/>
      <c r="AD327" s="18"/>
      <c r="AE327" s="15"/>
      <c r="AF327" s="15"/>
    </row>
    <row r="328" spans="1:32" x14ac:dyDescent="0.25">
      <c r="A328" t="str">
        <f t="shared" ca="1" si="16"/>
        <v>20140825-000328--190001000000@LIBRARY.NASHVILLE.ORG</v>
      </c>
      <c r="B328" s="15" t="str">
        <f t="shared" si="15"/>
        <v/>
      </c>
      <c r="D328" s="16" t="str">
        <f t="shared" si="17"/>
        <v/>
      </c>
      <c r="E328" s="21"/>
      <c r="F328" s="7"/>
      <c r="G328" s="19"/>
      <c r="H328" s="17"/>
      <c r="I328" s="1"/>
      <c r="N328" s="1"/>
      <c r="O328" s="1"/>
      <c r="P328" s="18"/>
      <c r="Q328" s="18"/>
      <c r="R328" s="18"/>
      <c r="S328" s="18"/>
      <c r="T328" s="18"/>
      <c r="U328" s="18"/>
      <c r="V328" s="18"/>
      <c r="W328" s="18"/>
      <c r="X328" s="18"/>
      <c r="Y328" s="18"/>
      <c r="Z328" s="18"/>
      <c r="AA328" s="18"/>
      <c r="AB328" s="18"/>
      <c r="AC328" s="18"/>
      <c r="AD328" s="18"/>
      <c r="AE328" s="15"/>
      <c r="AF328" s="15"/>
    </row>
    <row r="329" spans="1:32" x14ac:dyDescent="0.25">
      <c r="A329" t="str">
        <f t="shared" ca="1" si="16"/>
        <v>20140825-000329--190001000000@LIBRARY.NASHVILLE.ORG</v>
      </c>
      <c r="B329" s="15" t="str">
        <f t="shared" si="15"/>
        <v/>
      </c>
      <c r="D329" s="16" t="str">
        <f t="shared" si="17"/>
        <v/>
      </c>
      <c r="E329" s="21"/>
      <c r="F329" s="7"/>
      <c r="G329" s="19"/>
      <c r="H329" s="17"/>
      <c r="I329" s="1"/>
      <c r="N329" s="1"/>
      <c r="O329" s="1"/>
      <c r="P329" s="18"/>
      <c r="Q329" s="18"/>
      <c r="R329" s="18"/>
      <c r="S329" s="18"/>
      <c r="T329" s="18"/>
      <c r="U329" s="18"/>
      <c r="V329" s="18"/>
      <c r="W329" s="18"/>
      <c r="X329" s="18"/>
      <c r="Y329" s="18"/>
      <c r="Z329" s="18"/>
      <c r="AA329" s="18"/>
      <c r="AB329" s="18"/>
      <c r="AC329" s="18"/>
      <c r="AD329" s="18"/>
      <c r="AE329" s="15"/>
      <c r="AF329" s="15"/>
    </row>
    <row r="330" spans="1:32" x14ac:dyDescent="0.25">
      <c r="A330" t="str">
        <f t="shared" ca="1" si="16"/>
        <v>20140825-000330--190001000000@LIBRARY.NASHVILLE.ORG</v>
      </c>
      <c r="B330" s="15" t="str">
        <f t="shared" si="15"/>
        <v/>
      </c>
      <c r="D330" s="16" t="str">
        <f t="shared" si="17"/>
        <v/>
      </c>
      <c r="E330" s="21"/>
      <c r="F330" s="7"/>
      <c r="G330" s="19"/>
      <c r="H330" s="17"/>
      <c r="I330" s="1"/>
      <c r="N330" s="1"/>
      <c r="O330" s="1"/>
      <c r="P330" s="18"/>
      <c r="Q330" s="18"/>
      <c r="R330" s="18"/>
      <c r="S330" s="18"/>
      <c r="T330" s="18"/>
      <c r="U330" s="18"/>
      <c r="V330" s="18"/>
      <c r="W330" s="18"/>
      <c r="X330" s="18"/>
      <c r="Y330" s="18"/>
      <c r="Z330" s="18"/>
      <c r="AA330" s="18"/>
      <c r="AB330" s="18"/>
      <c r="AC330" s="18"/>
      <c r="AD330" s="18"/>
      <c r="AE330" s="15"/>
      <c r="AF330" s="15"/>
    </row>
    <row r="331" spans="1:32" x14ac:dyDescent="0.25">
      <c r="A331" t="str">
        <f t="shared" ca="1" si="16"/>
        <v>20140825-000331--190001000000@LIBRARY.NASHVILLE.ORG</v>
      </c>
      <c r="B331" s="15" t="str">
        <f t="shared" si="15"/>
        <v/>
      </c>
      <c r="D331" s="16" t="str">
        <f t="shared" si="17"/>
        <v/>
      </c>
      <c r="E331" s="21"/>
      <c r="F331" s="7"/>
      <c r="G331" s="19"/>
      <c r="H331" s="17"/>
      <c r="I331" s="1"/>
      <c r="N331" s="1"/>
      <c r="O331" s="1"/>
      <c r="P331" s="18"/>
      <c r="Q331" s="18"/>
      <c r="R331" s="18"/>
      <c r="S331" s="18"/>
      <c r="T331" s="18"/>
      <c r="U331" s="18"/>
      <c r="V331" s="18"/>
      <c r="W331" s="18"/>
      <c r="X331" s="18"/>
      <c r="Y331" s="18"/>
      <c r="Z331" s="18"/>
      <c r="AA331" s="18"/>
      <c r="AB331" s="18"/>
      <c r="AC331" s="18"/>
      <c r="AD331" s="18"/>
      <c r="AE331" s="15"/>
      <c r="AF331" s="15"/>
    </row>
    <row r="332" spans="1:32" x14ac:dyDescent="0.25">
      <c r="A332" t="str">
        <f t="shared" ca="1" si="16"/>
        <v>20140825-000332--190001000000@LIBRARY.NASHVILLE.ORG</v>
      </c>
      <c r="B332" s="15" t="str">
        <f t="shared" si="15"/>
        <v/>
      </c>
      <c r="D332" s="16" t="str">
        <f t="shared" si="17"/>
        <v/>
      </c>
      <c r="E332" s="21"/>
      <c r="F332" s="7"/>
      <c r="G332" s="19"/>
      <c r="H332" s="17"/>
      <c r="I332" s="1"/>
      <c r="N332" s="1"/>
      <c r="O332" s="1"/>
      <c r="P332" s="18"/>
      <c r="Q332" s="18"/>
      <c r="R332" s="18"/>
      <c r="S332" s="18"/>
      <c r="T332" s="18"/>
      <c r="U332" s="18"/>
      <c r="V332" s="18"/>
      <c r="W332" s="18"/>
      <c r="X332" s="18"/>
      <c r="Y332" s="18"/>
      <c r="Z332" s="18"/>
      <c r="AA332" s="18"/>
      <c r="AB332" s="18"/>
      <c r="AC332" s="18"/>
      <c r="AD332" s="18"/>
      <c r="AE332" s="15"/>
      <c r="AF332" s="15"/>
    </row>
    <row r="333" spans="1:32" x14ac:dyDescent="0.25">
      <c r="A333" t="str">
        <f t="shared" ca="1" si="16"/>
        <v>20140825-000333--190001000000@LIBRARY.NASHVILLE.ORG</v>
      </c>
      <c r="B333" s="15" t="str">
        <f t="shared" ref="B333:B396" si="18">IF($B$2=0,"",TEXT($B$2,""))</f>
        <v/>
      </c>
      <c r="D333" s="16" t="str">
        <f t="shared" si="17"/>
        <v/>
      </c>
      <c r="E333" s="21"/>
      <c r="F333" s="7"/>
      <c r="G333" s="19"/>
      <c r="H333" s="17"/>
      <c r="I333" s="1"/>
      <c r="N333" s="1"/>
      <c r="O333" s="1"/>
      <c r="P333" s="18"/>
      <c r="Q333" s="18"/>
      <c r="R333" s="18"/>
      <c r="S333" s="18"/>
      <c r="T333" s="18"/>
      <c r="U333" s="18"/>
      <c r="V333" s="18"/>
      <c r="W333" s="18"/>
      <c r="X333" s="18"/>
      <c r="Y333" s="18"/>
      <c r="Z333" s="18"/>
      <c r="AA333" s="18"/>
      <c r="AB333" s="18"/>
      <c r="AC333" s="18"/>
      <c r="AD333" s="18"/>
      <c r="AE333" s="15"/>
      <c r="AF333" s="15"/>
    </row>
    <row r="334" spans="1:32" x14ac:dyDescent="0.25">
      <c r="A334" t="str">
        <f t="shared" ca="1" si="16"/>
        <v>20140825-000334--190001000000@LIBRARY.NASHVILLE.ORG</v>
      </c>
      <c r="B334" s="15" t="str">
        <f t="shared" si="18"/>
        <v/>
      </c>
      <c r="D334" s="16" t="str">
        <f t="shared" si="17"/>
        <v/>
      </c>
      <c r="E334" s="21"/>
      <c r="F334" s="7"/>
      <c r="G334" s="19"/>
      <c r="H334" s="17"/>
      <c r="I334" s="1"/>
      <c r="N334" s="1"/>
      <c r="O334" s="1"/>
      <c r="P334" s="18"/>
      <c r="Q334" s="18"/>
      <c r="R334" s="18"/>
      <c r="S334" s="18"/>
      <c r="T334" s="18"/>
      <c r="U334" s="18"/>
      <c r="V334" s="18"/>
      <c r="W334" s="18"/>
      <c r="X334" s="18"/>
      <c r="Y334" s="18"/>
      <c r="Z334" s="18"/>
      <c r="AA334" s="18"/>
      <c r="AB334" s="18"/>
      <c r="AC334" s="18"/>
      <c r="AD334" s="18"/>
      <c r="AE334" s="15"/>
      <c r="AF334" s="15"/>
    </row>
    <row r="335" spans="1:32" x14ac:dyDescent="0.25">
      <c r="A335" t="str">
        <f t="shared" ca="1" si="16"/>
        <v>20140825-000335--190001000000@LIBRARY.NASHVILLE.ORG</v>
      </c>
      <c r="B335" s="15" t="str">
        <f t="shared" si="18"/>
        <v/>
      </c>
      <c r="D335" s="16" t="str">
        <f t="shared" si="17"/>
        <v/>
      </c>
      <c r="E335" s="21"/>
      <c r="F335" s="7"/>
      <c r="G335" s="19"/>
      <c r="H335" s="17"/>
      <c r="I335" s="1"/>
      <c r="N335" s="1"/>
      <c r="O335" s="1"/>
      <c r="P335" s="18"/>
      <c r="Q335" s="18"/>
      <c r="R335" s="18"/>
      <c r="S335" s="18"/>
      <c r="T335" s="18"/>
      <c r="U335" s="18"/>
      <c r="V335" s="18"/>
      <c r="W335" s="18"/>
      <c r="X335" s="18"/>
      <c r="Y335" s="18"/>
      <c r="Z335" s="18"/>
      <c r="AA335" s="18"/>
      <c r="AB335" s="18"/>
      <c r="AC335" s="18"/>
      <c r="AD335" s="18"/>
      <c r="AE335" s="15"/>
      <c r="AF335" s="15"/>
    </row>
    <row r="336" spans="1:32" x14ac:dyDescent="0.25">
      <c r="A336" t="str">
        <f t="shared" ca="1" si="16"/>
        <v>20140825-000336--190001000000@LIBRARY.NASHVILLE.ORG</v>
      </c>
      <c r="B336" s="15" t="str">
        <f t="shared" si="18"/>
        <v/>
      </c>
      <c r="D336" s="16" t="str">
        <f t="shared" si="17"/>
        <v/>
      </c>
      <c r="E336" s="21"/>
      <c r="F336" s="7"/>
      <c r="G336" s="19"/>
      <c r="H336" s="17"/>
      <c r="I336" s="1"/>
      <c r="N336" s="1"/>
      <c r="O336" s="1"/>
      <c r="P336" s="18"/>
      <c r="Q336" s="18"/>
      <c r="R336" s="18"/>
      <c r="S336" s="18"/>
      <c r="T336" s="18"/>
      <c r="U336" s="18"/>
      <c r="V336" s="18"/>
      <c r="W336" s="18"/>
      <c r="X336" s="18"/>
      <c r="Y336" s="18"/>
      <c r="Z336" s="18"/>
      <c r="AA336" s="18"/>
      <c r="AB336" s="18"/>
      <c r="AC336" s="18"/>
      <c r="AD336" s="18"/>
      <c r="AE336" s="15"/>
      <c r="AF336" s="15"/>
    </row>
    <row r="337" spans="1:32" x14ac:dyDescent="0.25">
      <c r="A337" t="str">
        <f t="shared" ca="1" si="16"/>
        <v>20140825-000337--190001000000@LIBRARY.NASHVILLE.ORG</v>
      </c>
      <c r="B337" s="15" t="str">
        <f t="shared" si="18"/>
        <v/>
      </c>
      <c r="D337" s="16" t="str">
        <f t="shared" si="17"/>
        <v/>
      </c>
      <c r="E337" s="21"/>
      <c r="F337" s="7"/>
      <c r="G337" s="19"/>
      <c r="H337" s="17"/>
      <c r="I337" s="1"/>
      <c r="N337" s="1"/>
      <c r="O337" s="1"/>
      <c r="P337" s="18"/>
      <c r="Q337" s="18"/>
      <c r="R337" s="18"/>
      <c r="S337" s="18"/>
      <c r="T337" s="18"/>
      <c r="U337" s="18"/>
      <c r="V337" s="18"/>
      <c r="W337" s="18"/>
      <c r="X337" s="18"/>
      <c r="Y337" s="18"/>
      <c r="Z337" s="18"/>
      <c r="AA337" s="18"/>
      <c r="AB337" s="18"/>
      <c r="AC337" s="18"/>
      <c r="AD337" s="18"/>
      <c r="AE337" s="15"/>
      <c r="AF337" s="15"/>
    </row>
    <row r="338" spans="1:32" x14ac:dyDescent="0.25">
      <c r="A338" t="str">
        <f t="shared" ca="1" si="16"/>
        <v>20140825-000338--190001000000@LIBRARY.NASHVILLE.ORG</v>
      </c>
      <c r="B338" s="15" t="str">
        <f t="shared" si="18"/>
        <v/>
      </c>
      <c r="D338" s="16" t="str">
        <f t="shared" si="17"/>
        <v/>
      </c>
      <c r="E338" s="21"/>
      <c r="F338" s="7"/>
      <c r="G338" s="19"/>
      <c r="H338" s="17"/>
      <c r="I338" s="1"/>
      <c r="N338" s="1"/>
      <c r="O338" s="1"/>
      <c r="P338" s="18"/>
      <c r="Q338" s="18"/>
      <c r="R338" s="18"/>
      <c r="S338" s="18"/>
      <c r="T338" s="18"/>
      <c r="U338" s="18"/>
      <c r="V338" s="18"/>
      <c r="W338" s="18"/>
      <c r="X338" s="18"/>
      <c r="Y338" s="18"/>
      <c r="Z338" s="18"/>
      <c r="AA338" s="18"/>
      <c r="AB338" s="18"/>
      <c r="AC338" s="18"/>
      <c r="AD338" s="18"/>
      <c r="AE338" s="15"/>
      <c r="AF338" s="15"/>
    </row>
    <row r="339" spans="1:32" x14ac:dyDescent="0.25">
      <c r="A339" t="str">
        <f t="shared" ca="1" si="16"/>
        <v>20140825-000339--190001000000@LIBRARY.NASHVILLE.ORG</v>
      </c>
      <c r="B339" s="15" t="str">
        <f t="shared" si="18"/>
        <v/>
      </c>
      <c r="D339" s="16" t="str">
        <f t="shared" si="17"/>
        <v/>
      </c>
      <c r="E339" s="21"/>
      <c r="F339" s="7"/>
      <c r="G339" s="19"/>
      <c r="H339" s="17"/>
      <c r="I339" s="1"/>
      <c r="N339" s="1"/>
      <c r="O339" s="1"/>
      <c r="P339" s="18"/>
      <c r="Q339" s="18"/>
      <c r="R339" s="18"/>
      <c r="S339" s="18"/>
      <c r="T339" s="18"/>
      <c r="U339" s="18"/>
      <c r="V339" s="18"/>
      <c r="W339" s="18"/>
      <c r="X339" s="18"/>
      <c r="Y339" s="18"/>
      <c r="Z339" s="18"/>
      <c r="AA339" s="18"/>
      <c r="AB339" s="18"/>
      <c r="AC339" s="18"/>
      <c r="AD339" s="18"/>
      <c r="AE339" s="15"/>
      <c r="AF339" s="15"/>
    </row>
    <row r="340" spans="1:32" x14ac:dyDescent="0.25">
      <c r="A340" t="str">
        <f t="shared" ca="1" si="16"/>
        <v>20140825-000340--190001000000@LIBRARY.NASHVILLE.ORG</v>
      </c>
      <c r="B340" s="15" t="str">
        <f t="shared" si="18"/>
        <v/>
      </c>
      <c r="D340" s="16" t="str">
        <f t="shared" si="17"/>
        <v/>
      </c>
      <c r="E340" s="21"/>
      <c r="F340" s="7"/>
      <c r="G340" s="19"/>
      <c r="H340" s="17"/>
      <c r="I340" s="1"/>
      <c r="N340" s="1"/>
      <c r="O340" s="1"/>
      <c r="P340" s="18"/>
      <c r="Q340" s="18"/>
      <c r="R340" s="18"/>
      <c r="S340" s="18"/>
      <c r="T340" s="18"/>
      <c r="U340" s="18"/>
      <c r="V340" s="18"/>
      <c r="W340" s="18"/>
      <c r="X340" s="18"/>
      <c r="Y340" s="18"/>
      <c r="Z340" s="18"/>
      <c r="AA340" s="18"/>
      <c r="AB340" s="18"/>
      <c r="AC340" s="18"/>
      <c r="AD340" s="18"/>
      <c r="AE340" s="15"/>
      <c r="AF340" s="15"/>
    </row>
    <row r="341" spans="1:32" x14ac:dyDescent="0.25">
      <c r="A341" t="str">
        <f t="shared" ca="1" si="16"/>
        <v>20140825-000341--190001000000@LIBRARY.NASHVILLE.ORG</v>
      </c>
      <c r="B341" s="15" t="str">
        <f t="shared" si="18"/>
        <v/>
      </c>
      <c r="D341" s="16" t="str">
        <f t="shared" si="17"/>
        <v/>
      </c>
      <c r="E341" s="21"/>
      <c r="F341" s="7"/>
      <c r="G341" s="19"/>
      <c r="H341" s="17"/>
      <c r="I341" s="1"/>
      <c r="N341" s="1"/>
      <c r="O341" s="1"/>
      <c r="P341" s="18"/>
      <c r="Q341" s="18"/>
      <c r="R341" s="18"/>
      <c r="S341" s="18"/>
      <c r="T341" s="18"/>
      <c r="U341" s="18"/>
      <c r="V341" s="18"/>
      <c r="W341" s="18"/>
      <c r="X341" s="18"/>
      <c r="Y341" s="18"/>
      <c r="Z341" s="18"/>
      <c r="AA341" s="18"/>
      <c r="AB341" s="18"/>
      <c r="AC341" s="18"/>
      <c r="AD341" s="18"/>
      <c r="AE341" s="15"/>
      <c r="AF341" s="15"/>
    </row>
    <row r="342" spans="1:32" x14ac:dyDescent="0.25">
      <c r="A342" t="str">
        <f t="shared" ca="1" si="16"/>
        <v>20140825-000342--190001000000@LIBRARY.NASHVILLE.ORG</v>
      </c>
      <c r="B342" s="15" t="str">
        <f t="shared" si="18"/>
        <v/>
      </c>
      <c r="D342" s="16" t="str">
        <f t="shared" si="17"/>
        <v/>
      </c>
      <c r="E342" s="21"/>
      <c r="F342" s="7"/>
      <c r="G342" s="19"/>
      <c r="H342" s="17"/>
      <c r="I342" s="1"/>
      <c r="N342" s="1"/>
      <c r="O342" s="1"/>
      <c r="P342" s="18"/>
      <c r="Q342" s="18"/>
      <c r="R342" s="18"/>
      <c r="S342" s="18"/>
      <c r="T342" s="18"/>
      <c r="U342" s="18"/>
      <c r="V342" s="18"/>
      <c r="W342" s="18"/>
      <c r="X342" s="18"/>
      <c r="Y342" s="18"/>
      <c r="Z342" s="18"/>
      <c r="AA342" s="18"/>
      <c r="AB342" s="18"/>
      <c r="AC342" s="18"/>
      <c r="AD342" s="18"/>
      <c r="AE342" s="15"/>
      <c r="AF342" s="15"/>
    </row>
    <row r="343" spans="1:32" x14ac:dyDescent="0.25">
      <c r="A343" t="str">
        <f t="shared" ca="1" si="16"/>
        <v>20140825-000343--190001000000@LIBRARY.NASHVILLE.ORG</v>
      </c>
      <c r="B343" s="15" t="str">
        <f t="shared" si="18"/>
        <v/>
      </c>
      <c r="D343" s="16" t="str">
        <f t="shared" si="17"/>
        <v/>
      </c>
      <c r="E343" s="21"/>
      <c r="F343" s="7"/>
      <c r="G343" s="19"/>
      <c r="H343" s="17"/>
      <c r="I343" s="1"/>
      <c r="N343" s="1"/>
      <c r="O343" s="1"/>
      <c r="P343" s="18"/>
      <c r="Q343" s="18"/>
      <c r="R343" s="18"/>
      <c r="S343" s="18"/>
      <c r="T343" s="18"/>
      <c r="U343" s="18"/>
      <c r="V343" s="18"/>
      <c r="W343" s="18"/>
      <c r="X343" s="18"/>
      <c r="Y343" s="18"/>
      <c r="Z343" s="18"/>
      <c r="AA343" s="18"/>
      <c r="AB343" s="18"/>
      <c r="AC343" s="18"/>
      <c r="AD343" s="18"/>
      <c r="AE343" s="15"/>
      <c r="AF343" s="15"/>
    </row>
    <row r="344" spans="1:32" x14ac:dyDescent="0.25">
      <c r="A344" t="str">
        <f t="shared" ca="1" si="16"/>
        <v>20140825-000344--190001000000@LIBRARY.NASHVILLE.ORG</v>
      </c>
      <c r="B344" s="15" t="str">
        <f t="shared" si="18"/>
        <v/>
      </c>
      <c r="D344" s="16" t="str">
        <f t="shared" si="17"/>
        <v/>
      </c>
      <c r="E344" s="21"/>
      <c r="F344" s="7"/>
      <c r="G344" s="19"/>
      <c r="H344" s="17"/>
      <c r="I344" s="1"/>
      <c r="N344" s="1"/>
      <c r="O344" s="1"/>
      <c r="P344" s="18"/>
      <c r="Q344" s="18"/>
      <c r="R344" s="18"/>
      <c r="S344" s="18"/>
      <c r="T344" s="18"/>
      <c r="U344" s="18"/>
      <c r="V344" s="18"/>
      <c r="W344" s="18"/>
      <c r="X344" s="18"/>
      <c r="Y344" s="18"/>
      <c r="Z344" s="18"/>
      <c r="AA344" s="18"/>
      <c r="AB344" s="18"/>
      <c r="AC344" s="18"/>
      <c r="AD344" s="18"/>
      <c r="AE344" s="15"/>
      <c r="AF344" s="15"/>
    </row>
    <row r="345" spans="1:32" x14ac:dyDescent="0.25">
      <c r="A345" t="str">
        <f t="shared" ca="1" si="16"/>
        <v>20140825-000345--190001000000@LIBRARY.NASHVILLE.ORG</v>
      </c>
      <c r="B345" s="15" t="str">
        <f t="shared" si="18"/>
        <v/>
      </c>
      <c r="D345" s="16" t="str">
        <f t="shared" si="17"/>
        <v/>
      </c>
      <c r="E345" s="21"/>
      <c r="F345" s="7"/>
      <c r="G345" s="19"/>
      <c r="H345" s="17"/>
      <c r="I345" s="1"/>
      <c r="N345" s="1"/>
      <c r="O345" s="1"/>
      <c r="P345" s="18"/>
      <c r="Q345" s="18"/>
      <c r="R345" s="18"/>
      <c r="S345" s="18"/>
      <c r="T345" s="18"/>
      <c r="U345" s="18"/>
      <c r="V345" s="18"/>
      <c r="W345" s="18"/>
      <c r="X345" s="18"/>
      <c r="Y345" s="18"/>
      <c r="Z345" s="18"/>
      <c r="AA345" s="18"/>
      <c r="AB345" s="18"/>
      <c r="AC345" s="18"/>
      <c r="AD345" s="18"/>
      <c r="AE345" s="15"/>
      <c r="AF345" s="15"/>
    </row>
    <row r="346" spans="1:32" x14ac:dyDescent="0.25">
      <c r="A346" t="str">
        <f t="shared" ca="1" si="16"/>
        <v>20140825-000346--190001000000@LIBRARY.NASHVILLE.ORG</v>
      </c>
      <c r="B346" s="15" t="str">
        <f t="shared" si="18"/>
        <v/>
      </c>
      <c r="D346" s="16" t="str">
        <f t="shared" si="17"/>
        <v/>
      </c>
      <c r="E346" s="21"/>
      <c r="F346" s="7"/>
      <c r="G346" s="19"/>
      <c r="H346" s="17"/>
      <c r="I346" s="1"/>
      <c r="N346" s="1"/>
      <c r="O346" s="1"/>
      <c r="P346" s="18"/>
      <c r="Q346" s="18"/>
      <c r="R346" s="18"/>
      <c r="S346" s="18"/>
      <c r="T346" s="18"/>
      <c r="U346" s="18"/>
      <c r="V346" s="18"/>
      <c r="W346" s="18"/>
      <c r="X346" s="18"/>
      <c r="Y346" s="18"/>
      <c r="Z346" s="18"/>
      <c r="AA346" s="18"/>
      <c r="AB346" s="18"/>
      <c r="AC346" s="18"/>
      <c r="AD346" s="18"/>
      <c r="AE346" s="15"/>
      <c r="AF346" s="15"/>
    </row>
    <row r="347" spans="1:32" x14ac:dyDescent="0.25">
      <c r="A347" t="str">
        <f t="shared" ca="1" si="16"/>
        <v>20140825-000347--190001000000@LIBRARY.NASHVILLE.ORG</v>
      </c>
      <c r="B347" s="15" t="str">
        <f t="shared" si="18"/>
        <v/>
      </c>
      <c r="D347" s="16" t="str">
        <f t="shared" si="17"/>
        <v/>
      </c>
      <c r="E347" s="21"/>
      <c r="F347" s="7"/>
      <c r="G347" s="19"/>
      <c r="H347" s="17"/>
      <c r="I347" s="1"/>
      <c r="N347" s="1"/>
      <c r="O347" s="1"/>
      <c r="P347" s="18"/>
      <c r="Q347" s="18"/>
      <c r="R347" s="18"/>
      <c r="S347" s="18"/>
      <c r="T347" s="18"/>
      <c r="U347" s="18"/>
      <c r="V347" s="18"/>
      <c r="W347" s="18"/>
      <c r="X347" s="18"/>
      <c r="Y347" s="18"/>
      <c r="Z347" s="18"/>
      <c r="AA347" s="18"/>
      <c r="AB347" s="18"/>
      <c r="AC347" s="18"/>
      <c r="AD347" s="18"/>
      <c r="AE347" s="15"/>
      <c r="AF347" s="15"/>
    </row>
    <row r="348" spans="1:32" x14ac:dyDescent="0.25">
      <c r="A348" t="str">
        <f t="shared" ca="1" si="16"/>
        <v>20140825-000348--190001000000@LIBRARY.NASHVILLE.ORG</v>
      </c>
      <c r="B348" s="15" t="str">
        <f t="shared" si="18"/>
        <v/>
      </c>
      <c r="D348" s="16" t="str">
        <f t="shared" si="17"/>
        <v/>
      </c>
      <c r="E348" s="21"/>
      <c r="F348" s="7"/>
      <c r="G348" s="19"/>
      <c r="H348" s="17"/>
      <c r="I348" s="1"/>
      <c r="N348" s="1"/>
      <c r="O348" s="1"/>
      <c r="P348" s="18"/>
      <c r="Q348" s="18"/>
      <c r="R348" s="18"/>
      <c r="S348" s="18"/>
      <c r="T348" s="18"/>
      <c r="U348" s="18"/>
      <c r="V348" s="18"/>
      <c r="W348" s="18"/>
      <c r="X348" s="18"/>
      <c r="Y348" s="18"/>
      <c r="Z348" s="18"/>
      <c r="AA348" s="18"/>
      <c r="AB348" s="18"/>
      <c r="AC348" s="18"/>
      <c r="AD348" s="18"/>
      <c r="AE348" s="15"/>
      <c r="AF348" s="15"/>
    </row>
    <row r="349" spans="1:32" x14ac:dyDescent="0.25">
      <c r="A349" t="str">
        <f t="shared" ca="1" si="16"/>
        <v>20140825-000349--190001000000@LIBRARY.NASHVILLE.ORG</v>
      </c>
      <c r="B349" s="15" t="str">
        <f t="shared" si="18"/>
        <v/>
      </c>
      <c r="D349" s="16" t="str">
        <f t="shared" si="17"/>
        <v/>
      </c>
      <c r="E349" s="21"/>
      <c r="F349" s="7"/>
      <c r="G349" s="19"/>
      <c r="H349" s="17"/>
      <c r="I349" s="1"/>
      <c r="N349" s="1"/>
      <c r="O349" s="1"/>
      <c r="P349" s="18"/>
      <c r="Q349" s="18"/>
      <c r="R349" s="18"/>
      <c r="S349" s="18"/>
      <c r="T349" s="18"/>
      <c r="U349" s="18"/>
      <c r="V349" s="18"/>
      <c r="W349" s="18"/>
      <c r="X349" s="18"/>
      <c r="Y349" s="18"/>
      <c r="Z349" s="18"/>
      <c r="AA349" s="18"/>
      <c r="AB349" s="18"/>
      <c r="AC349" s="18"/>
      <c r="AD349" s="18"/>
      <c r="AE349" s="15"/>
      <c r="AF349" s="15"/>
    </row>
    <row r="350" spans="1:32" x14ac:dyDescent="0.25">
      <c r="A350" t="str">
        <f t="shared" ca="1" si="16"/>
        <v>20140825-000350--190001000000@LIBRARY.NASHVILLE.ORG</v>
      </c>
      <c r="B350" s="15" t="str">
        <f t="shared" si="18"/>
        <v/>
      </c>
      <c r="D350" s="16" t="str">
        <f t="shared" si="17"/>
        <v/>
      </c>
      <c r="E350" s="21"/>
      <c r="F350" s="7"/>
      <c r="G350" s="19"/>
      <c r="H350" s="17"/>
      <c r="I350" s="1"/>
      <c r="N350" s="1"/>
      <c r="O350" s="1"/>
      <c r="P350" s="18"/>
      <c r="Q350" s="18"/>
      <c r="R350" s="18"/>
      <c r="S350" s="18"/>
      <c r="T350" s="18"/>
      <c r="U350" s="18"/>
      <c r="V350" s="18"/>
      <c r="W350" s="18"/>
      <c r="X350" s="18"/>
      <c r="Y350" s="18"/>
      <c r="Z350" s="18"/>
      <c r="AA350" s="18"/>
      <c r="AB350" s="18"/>
      <c r="AC350" s="18"/>
      <c r="AD350" s="18"/>
      <c r="AE350" s="15"/>
      <c r="AF350" s="15"/>
    </row>
    <row r="351" spans="1:32" x14ac:dyDescent="0.25">
      <c r="A351" t="str">
        <f t="shared" ca="1" si="16"/>
        <v>20140825-000351--190001000000@LIBRARY.NASHVILLE.ORG</v>
      </c>
      <c r="B351" s="15" t="str">
        <f t="shared" si="18"/>
        <v/>
      </c>
      <c r="D351" s="16" t="str">
        <f t="shared" si="17"/>
        <v/>
      </c>
      <c r="E351" s="21"/>
      <c r="F351" s="7"/>
      <c r="G351" s="19"/>
      <c r="H351" s="17"/>
      <c r="I351" s="1"/>
      <c r="N351" s="1"/>
      <c r="O351" s="1"/>
      <c r="P351" s="18"/>
      <c r="Q351" s="18"/>
      <c r="R351" s="18"/>
      <c r="S351" s="18"/>
      <c r="T351" s="18"/>
      <c r="U351" s="18"/>
      <c r="V351" s="18"/>
      <c r="W351" s="18"/>
      <c r="X351" s="18"/>
      <c r="Y351" s="18"/>
      <c r="Z351" s="18"/>
      <c r="AA351" s="18"/>
      <c r="AB351" s="18"/>
      <c r="AC351" s="18"/>
      <c r="AD351" s="18"/>
      <c r="AE351" s="15"/>
      <c r="AF351" s="15"/>
    </row>
    <row r="352" spans="1:32" x14ac:dyDescent="0.25">
      <c r="A352" t="str">
        <f t="shared" ca="1" si="16"/>
        <v>20140825-000352--190001000000@LIBRARY.NASHVILLE.ORG</v>
      </c>
      <c r="B352" s="15" t="str">
        <f t="shared" si="18"/>
        <v/>
      </c>
      <c r="D352" s="16" t="str">
        <f t="shared" si="17"/>
        <v/>
      </c>
      <c r="E352" s="21"/>
      <c r="F352" s="7"/>
      <c r="G352" s="19"/>
      <c r="H352" s="17"/>
      <c r="I352" s="1"/>
      <c r="N352" s="1"/>
      <c r="O352" s="1"/>
      <c r="P352" s="18"/>
      <c r="Q352" s="18"/>
      <c r="R352" s="18"/>
      <c r="S352" s="18"/>
      <c r="T352" s="18"/>
      <c r="U352" s="18"/>
      <c r="V352" s="18"/>
      <c r="W352" s="18"/>
      <c r="X352" s="18"/>
      <c r="Y352" s="18"/>
      <c r="Z352" s="18"/>
      <c r="AA352" s="18"/>
      <c r="AB352" s="18"/>
      <c r="AC352" s="18"/>
      <c r="AD352" s="18"/>
      <c r="AE352" s="15"/>
      <c r="AF352" s="15"/>
    </row>
    <row r="353" spans="1:32" x14ac:dyDescent="0.25">
      <c r="A353" t="str">
        <f t="shared" ca="1" si="16"/>
        <v>20140825-000353--190001000000@LIBRARY.NASHVILLE.ORG</v>
      </c>
      <c r="B353" s="15" t="str">
        <f t="shared" si="18"/>
        <v/>
      </c>
      <c r="D353" s="16" t="str">
        <f t="shared" si="17"/>
        <v/>
      </c>
      <c r="E353" s="21"/>
      <c r="F353" s="7"/>
      <c r="G353" s="19"/>
      <c r="H353" s="17"/>
      <c r="I353" s="1"/>
      <c r="N353" s="1"/>
      <c r="O353" s="1"/>
      <c r="P353" s="18"/>
      <c r="Q353" s="18"/>
      <c r="R353" s="18"/>
      <c r="S353" s="18"/>
      <c r="T353" s="18"/>
      <c r="U353" s="18"/>
      <c r="V353" s="18"/>
      <c r="W353" s="18"/>
      <c r="X353" s="18"/>
      <c r="Y353" s="18"/>
      <c r="Z353" s="18"/>
      <c r="AA353" s="18"/>
      <c r="AB353" s="18"/>
      <c r="AC353" s="18"/>
      <c r="AD353" s="18"/>
      <c r="AE353" s="15"/>
      <c r="AF353" s="15"/>
    </row>
    <row r="354" spans="1:32" x14ac:dyDescent="0.25">
      <c r="A354" t="str">
        <f t="shared" ca="1" si="16"/>
        <v>20140825-000354--190001000000@LIBRARY.NASHVILLE.ORG</v>
      </c>
      <c r="B354" s="15" t="str">
        <f t="shared" si="18"/>
        <v/>
      </c>
      <c r="D354" s="16" t="str">
        <f t="shared" si="17"/>
        <v/>
      </c>
      <c r="E354" s="21"/>
      <c r="F354" s="7"/>
      <c r="G354" s="19"/>
      <c r="H354" s="17"/>
      <c r="I354" s="1"/>
      <c r="N354" s="1"/>
      <c r="O354" s="1"/>
      <c r="P354" s="18"/>
      <c r="Q354" s="18"/>
      <c r="R354" s="18"/>
      <c r="S354" s="18"/>
      <c r="T354" s="18"/>
      <c r="U354" s="18"/>
      <c r="V354" s="18"/>
      <c r="W354" s="18"/>
      <c r="X354" s="18"/>
      <c r="Y354" s="18"/>
      <c r="Z354" s="18"/>
      <c r="AA354" s="18"/>
      <c r="AB354" s="18"/>
      <c r="AC354" s="18"/>
      <c r="AD354" s="18"/>
      <c r="AE354" s="15"/>
      <c r="AF354" s="15"/>
    </row>
    <row r="355" spans="1:32" x14ac:dyDescent="0.25">
      <c r="A355" t="str">
        <f t="shared" ca="1" si="16"/>
        <v>20140825-000355--190001000000@LIBRARY.NASHVILLE.ORG</v>
      </c>
      <c r="B355" s="15" t="str">
        <f t="shared" si="18"/>
        <v/>
      </c>
      <c r="D355" s="16" t="str">
        <f t="shared" si="17"/>
        <v/>
      </c>
      <c r="E355" s="21"/>
      <c r="F355" s="7"/>
      <c r="G355" s="19"/>
      <c r="H355" s="17"/>
      <c r="I355" s="1"/>
      <c r="N355" s="1"/>
      <c r="O355" s="1"/>
      <c r="P355" s="18"/>
      <c r="Q355" s="18"/>
      <c r="R355" s="18"/>
      <c r="S355" s="18"/>
      <c r="T355" s="18"/>
      <c r="U355" s="18"/>
      <c r="V355" s="18"/>
      <c r="W355" s="18"/>
      <c r="X355" s="18"/>
      <c r="Y355" s="18"/>
      <c r="Z355" s="18"/>
      <c r="AA355" s="18"/>
      <c r="AB355" s="18"/>
      <c r="AC355" s="18"/>
      <c r="AD355" s="18"/>
      <c r="AE355" s="15"/>
      <c r="AF355" s="15"/>
    </row>
    <row r="356" spans="1:32" x14ac:dyDescent="0.25">
      <c r="A356" t="str">
        <f t="shared" ca="1" si="16"/>
        <v>20140825-000356--190001000000@LIBRARY.NASHVILLE.ORG</v>
      </c>
      <c r="B356" s="15" t="str">
        <f t="shared" si="18"/>
        <v/>
      </c>
      <c r="D356" s="16" t="str">
        <f t="shared" si="17"/>
        <v/>
      </c>
      <c r="E356" s="21"/>
      <c r="F356" s="7"/>
      <c r="G356" s="19"/>
      <c r="H356" s="17"/>
      <c r="I356" s="1"/>
      <c r="N356" s="1"/>
      <c r="O356" s="1"/>
      <c r="P356" s="18"/>
      <c r="Q356" s="18"/>
      <c r="R356" s="18"/>
      <c r="S356" s="18"/>
      <c r="T356" s="18"/>
      <c r="U356" s="18"/>
      <c r="V356" s="18"/>
      <c r="W356" s="18"/>
      <c r="X356" s="18"/>
      <c r="Y356" s="18"/>
      <c r="Z356" s="18"/>
      <c r="AA356" s="18"/>
      <c r="AB356" s="18"/>
      <c r="AC356" s="18"/>
      <c r="AD356" s="18"/>
      <c r="AE356" s="15"/>
      <c r="AF356" s="15"/>
    </row>
    <row r="357" spans="1:32" x14ac:dyDescent="0.25">
      <c r="A357" t="str">
        <f t="shared" ca="1" si="16"/>
        <v>20140825-000357--190001000000@LIBRARY.NASHVILLE.ORG</v>
      </c>
      <c r="B357" s="15" t="str">
        <f t="shared" si="18"/>
        <v/>
      </c>
      <c r="D357" s="16" t="str">
        <f t="shared" si="17"/>
        <v/>
      </c>
      <c r="E357" s="21"/>
      <c r="F357" s="7"/>
      <c r="G357" s="19"/>
      <c r="H357" s="17"/>
      <c r="I357" s="1"/>
      <c r="N357" s="1"/>
      <c r="O357" s="1"/>
      <c r="P357" s="18"/>
      <c r="Q357" s="18"/>
      <c r="R357" s="18"/>
      <c r="S357" s="18"/>
      <c r="T357" s="18"/>
      <c r="U357" s="18"/>
      <c r="V357" s="18"/>
      <c r="W357" s="18"/>
      <c r="X357" s="18"/>
      <c r="Y357" s="18"/>
      <c r="Z357" s="18"/>
      <c r="AA357" s="18"/>
      <c r="AB357" s="18"/>
      <c r="AC357" s="18"/>
      <c r="AD357" s="18"/>
      <c r="AE357" s="15"/>
      <c r="AF357" s="15"/>
    </row>
    <row r="358" spans="1:32" x14ac:dyDescent="0.25">
      <c r="A358" t="str">
        <f t="shared" ca="1" si="16"/>
        <v>20140825-000358--190001000000@LIBRARY.NASHVILLE.ORG</v>
      </c>
      <c r="B358" s="15" t="str">
        <f t="shared" si="18"/>
        <v/>
      </c>
      <c r="D358" s="16" t="str">
        <f t="shared" si="17"/>
        <v/>
      </c>
      <c r="E358" s="21"/>
      <c r="F358" s="7"/>
      <c r="G358" s="19"/>
      <c r="H358" s="17"/>
      <c r="I358" s="1"/>
      <c r="N358" s="1"/>
      <c r="O358" s="1"/>
      <c r="P358" s="18"/>
      <c r="Q358" s="18"/>
      <c r="R358" s="18"/>
      <c r="S358" s="18"/>
      <c r="T358" s="18"/>
      <c r="U358" s="18"/>
      <c r="V358" s="18"/>
      <c r="W358" s="18"/>
      <c r="X358" s="18"/>
      <c r="Y358" s="18"/>
      <c r="Z358" s="18"/>
      <c r="AA358" s="18"/>
      <c r="AB358" s="18"/>
      <c r="AC358" s="18"/>
      <c r="AD358" s="18"/>
      <c r="AE358" s="15"/>
      <c r="AF358" s="15"/>
    </row>
    <row r="359" spans="1:32" x14ac:dyDescent="0.25">
      <c r="A359" t="str">
        <f t="shared" ca="1" si="16"/>
        <v>20140825-000359--190001000000@LIBRARY.NASHVILLE.ORG</v>
      </c>
      <c r="B359" s="15" t="str">
        <f t="shared" si="18"/>
        <v/>
      </c>
      <c r="D359" s="16" t="str">
        <f t="shared" si="17"/>
        <v/>
      </c>
      <c r="E359" s="21"/>
      <c r="F359" s="7"/>
      <c r="G359" s="19"/>
      <c r="H359" s="17"/>
      <c r="I359" s="1"/>
      <c r="N359" s="1"/>
      <c r="O359" s="1"/>
      <c r="P359" s="18"/>
      <c r="Q359" s="18"/>
      <c r="R359" s="18"/>
      <c r="S359" s="18"/>
      <c r="T359" s="18"/>
      <c r="U359" s="18"/>
      <c r="V359" s="18"/>
      <c r="W359" s="18"/>
      <c r="X359" s="18"/>
      <c r="Y359" s="18"/>
      <c r="Z359" s="18"/>
      <c r="AA359" s="18"/>
      <c r="AB359" s="18"/>
      <c r="AC359" s="18"/>
      <c r="AD359" s="18"/>
      <c r="AE359" s="15"/>
      <c r="AF359" s="15"/>
    </row>
    <row r="360" spans="1:32" x14ac:dyDescent="0.25">
      <c r="A360" t="str">
        <f t="shared" ca="1" si="16"/>
        <v>20140825-000360--190001000000@LIBRARY.NASHVILLE.ORG</v>
      </c>
      <c r="B360" s="15" t="str">
        <f t="shared" si="18"/>
        <v/>
      </c>
      <c r="D360" s="16" t="str">
        <f t="shared" si="17"/>
        <v/>
      </c>
      <c r="E360" s="21"/>
      <c r="F360" s="7"/>
      <c r="G360" s="19"/>
      <c r="H360" s="17"/>
      <c r="I360" s="1"/>
      <c r="N360" s="1"/>
      <c r="O360" s="1"/>
      <c r="P360" s="18"/>
      <c r="Q360" s="18"/>
      <c r="R360" s="18"/>
      <c r="S360" s="18"/>
      <c r="T360" s="18"/>
      <c r="U360" s="18"/>
      <c r="V360" s="18"/>
      <c r="W360" s="18"/>
      <c r="X360" s="18"/>
      <c r="Y360" s="18"/>
      <c r="Z360" s="18"/>
      <c r="AA360" s="18"/>
      <c r="AB360" s="18"/>
      <c r="AC360" s="18"/>
      <c r="AD360" s="18"/>
      <c r="AE360" s="15"/>
      <c r="AF360" s="15"/>
    </row>
    <row r="361" spans="1:32" x14ac:dyDescent="0.25">
      <c r="A361" t="str">
        <f t="shared" ca="1" si="16"/>
        <v>20140825-000361--190001000000@LIBRARY.NASHVILLE.ORG</v>
      </c>
      <c r="B361" s="15" t="str">
        <f t="shared" si="18"/>
        <v/>
      </c>
      <c r="D361" s="16" t="str">
        <f t="shared" si="17"/>
        <v/>
      </c>
      <c r="E361" s="21"/>
      <c r="F361" s="7"/>
      <c r="G361" s="19"/>
      <c r="H361" s="17"/>
      <c r="I361" s="1"/>
      <c r="N361" s="1"/>
      <c r="O361" s="1"/>
      <c r="P361" s="18"/>
      <c r="Q361" s="18"/>
      <c r="R361" s="18"/>
      <c r="S361" s="18"/>
      <c r="T361" s="18"/>
      <c r="U361" s="18"/>
      <c r="V361" s="18"/>
      <c r="W361" s="18"/>
      <c r="X361" s="18"/>
      <c r="Y361" s="18"/>
      <c r="Z361" s="18"/>
      <c r="AA361" s="18"/>
      <c r="AB361" s="18"/>
      <c r="AC361" s="18"/>
      <c r="AD361" s="18"/>
      <c r="AE361" s="15"/>
      <c r="AF361" s="15"/>
    </row>
    <row r="362" spans="1:32" x14ac:dyDescent="0.25">
      <c r="A362" t="str">
        <f t="shared" ca="1" si="16"/>
        <v>20140825-000362--190001000000@LIBRARY.NASHVILLE.ORG</v>
      </c>
      <c r="B362" s="15" t="str">
        <f t="shared" si="18"/>
        <v/>
      </c>
      <c r="D362" s="16" t="str">
        <f t="shared" si="17"/>
        <v/>
      </c>
      <c r="E362" s="21"/>
      <c r="F362" s="7"/>
      <c r="G362" s="19"/>
      <c r="H362" s="17"/>
      <c r="I362" s="1"/>
      <c r="N362" s="1"/>
      <c r="O362" s="1"/>
      <c r="P362" s="18"/>
      <c r="Q362" s="18"/>
      <c r="R362" s="18"/>
      <c r="S362" s="18"/>
      <c r="T362" s="18"/>
      <c r="U362" s="18"/>
      <c r="V362" s="18"/>
      <c r="W362" s="18"/>
      <c r="X362" s="18"/>
      <c r="Y362" s="18"/>
      <c r="Z362" s="18"/>
      <c r="AA362" s="18"/>
      <c r="AB362" s="18"/>
      <c r="AC362" s="18"/>
      <c r="AD362" s="18"/>
      <c r="AE362" s="15"/>
      <c r="AF362" s="15"/>
    </row>
    <row r="363" spans="1:32" x14ac:dyDescent="0.25">
      <c r="A363" t="str">
        <f t="shared" ca="1" si="16"/>
        <v>20140825-000363--190001000000@LIBRARY.NASHVILLE.ORG</v>
      </c>
      <c r="B363" s="15" t="str">
        <f t="shared" si="18"/>
        <v/>
      </c>
      <c r="D363" s="16" t="str">
        <f t="shared" si="17"/>
        <v/>
      </c>
      <c r="E363" s="21"/>
      <c r="F363" s="7"/>
      <c r="G363" s="19"/>
      <c r="H363" s="17"/>
      <c r="I363" s="1"/>
      <c r="N363" s="1"/>
      <c r="O363" s="1"/>
      <c r="P363" s="18"/>
      <c r="Q363" s="18"/>
      <c r="R363" s="18"/>
      <c r="S363" s="18"/>
      <c r="T363" s="18"/>
      <c r="U363" s="18"/>
      <c r="V363" s="18"/>
      <c r="W363" s="18"/>
      <c r="X363" s="18"/>
      <c r="Y363" s="18"/>
      <c r="Z363" s="18"/>
      <c r="AA363" s="18"/>
      <c r="AB363" s="18"/>
      <c r="AC363" s="18"/>
      <c r="AD363" s="18"/>
      <c r="AE363" s="15"/>
      <c r="AF363" s="15"/>
    </row>
    <row r="364" spans="1:32" x14ac:dyDescent="0.25">
      <c r="A364" t="str">
        <f t="shared" ca="1" si="16"/>
        <v>20140825-000364--190001000000@LIBRARY.NASHVILLE.ORG</v>
      </c>
      <c r="B364" s="15" t="str">
        <f t="shared" si="18"/>
        <v/>
      </c>
      <c r="D364" s="16" t="str">
        <f t="shared" si="17"/>
        <v/>
      </c>
      <c r="E364" s="21"/>
      <c r="F364" s="7"/>
      <c r="G364" s="19"/>
      <c r="H364" s="17"/>
      <c r="I364" s="1"/>
      <c r="N364" s="1"/>
      <c r="O364" s="1"/>
      <c r="P364" s="18"/>
      <c r="Q364" s="18"/>
      <c r="R364" s="18"/>
      <c r="S364" s="18"/>
      <c r="T364" s="18"/>
      <c r="U364" s="18"/>
      <c r="V364" s="18"/>
      <c r="W364" s="18"/>
      <c r="X364" s="18"/>
      <c r="Y364" s="18"/>
      <c r="Z364" s="18"/>
      <c r="AA364" s="18"/>
      <c r="AB364" s="18"/>
      <c r="AC364" s="18"/>
      <c r="AD364" s="18"/>
      <c r="AE364" s="15"/>
      <c r="AF364" s="15"/>
    </row>
    <row r="365" spans="1:32" x14ac:dyDescent="0.25">
      <c r="A365" t="str">
        <f t="shared" ca="1" si="16"/>
        <v>20140825-000365--190001000000@LIBRARY.NASHVILLE.ORG</v>
      </c>
      <c r="B365" s="15" t="str">
        <f t="shared" si="18"/>
        <v/>
      </c>
      <c r="D365" s="16" t="str">
        <f t="shared" si="17"/>
        <v/>
      </c>
      <c r="E365" s="21"/>
      <c r="F365" s="7"/>
      <c r="G365" s="19"/>
      <c r="H365" s="17"/>
      <c r="I365" s="1"/>
      <c r="N365" s="1"/>
      <c r="O365" s="1"/>
      <c r="P365" s="18"/>
      <c r="Q365" s="18"/>
      <c r="R365" s="18"/>
      <c r="S365" s="18"/>
      <c r="T365" s="18"/>
      <c r="U365" s="18"/>
      <c r="V365" s="18"/>
      <c r="W365" s="18"/>
      <c r="X365" s="18"/>
      <c r="Y365" s="18"/>
      <c r="Z365" s="18"/>
      <c r="AA365" s="18"/>
      <c r="AB365" s="18"/>
      <c r="AC365" s="18"/>
      <c r="AD365" s="18"/>
      <c r="AE365" s="15"/>
      <c r="AF365" s="15"/>
    </row>
    <row r="366" spans="1:32" x14ac:dyDescent="0.25">
      <c r="A366" t="str">
        <f t="shared" ca="1" si="16"/>
        <v>20140825-000366--190001000000@LIBRARY.NASHVILLE.ORG</v>
      </c>
      <c r="B366" s="15" t="str">
        <f t="shared" si="18"/>
        <v/>
      </c>
      <c r="D366" s="16" t="str">
        <f t="shared" si="17"/>
        <v/>
      </c>
      <c r="E366" s="21"/>
      <c r="F366" s="7"/>
      <c r="G366" s="19"/>
      <c r="H366" s="17"/>
      <c r="I366" s="1"/>
      <c r="N366" s="1"/>
      <c r="O366" s="1"/>
      <c r="P366" s="18"/>
      <c r="Q366" s="18"/>
      <c r="R366" s="18"/>
      <c r="S366" s="18"/>
      <c r="T366" s="18"/>
      <c r="U366" s="18"/>
      <c r="V366" s="18"/>
      <c r="W366" s="18"/>
      <c r="X366" s="18"/>
      <c r="Y366" s="18"/>
      <c r="Z366" s="18"/>
      <c r="AA366" s="18"/>
      <c r="AB366" s="18"/>
      <c r="AC366" s="18"/>
      <c r="AD366" s="18"/>
      <c r="AE366" s="15"/>
      <c r="AF366" s="15"/>
    </row>
    <row r="367" spans="1:32" x14ac:dyDescent="0.25">
      <c r="A367" t="str">
        <f t="shared" ca="1" si="16"/>
        <v>20140825-000367--190001000000@LIBRARY.NASHVILLE.ORG</v>
      </c>
      <c r="B367" s="15" t="str">
        <f t="shared" si="18"/>
        <v/>
      </c>
      <c r="D367" s="16" t="str">
        <f t="shared" si="17"/>
        <v/>
      </c>
      <c r="E367" s="21"/>
      <c r="F367" s="7"/>
      <c r="G367" s="19"/>
      <c r="H367" s="17"/>
      <c r="I367" s="1"/>
      <c r="N367" s="1"/>
      <c r="O367" s="1"/>
      <c r="P367" s="18"/>
      <c r="Q367" s="18"/>
      <c r="R367" s="18"/>
      <c r="S367" s="18"/>
      <c r="T367" s="18"/>
      <c r="U367" s="18"/>
      <c r="V367" s="18"/>
      <c r="W367" s="18"/>
      <c r="X367" s="18"/>
      <c r="Y367" s="18"/>
      <c r="Z367" s="18"/>
      <c r="AA367" s="18"/>
      <c r="AB367" s="18"/>
      <c r="AC367" s="18"/>
      <c r="AD367" s="18"/>
      <c r="AE367" s="15"/>
      <c r="AF367" s="15"/>
    </row>
    <row r="368" spans="1:32" x14ac:dyDescent="0.25">
      <c r="A368" t="str">
        <f t="shared" ca="1" si="16"/>
        <v>20140825-000368--190001000000@LIBRARY.NASHVILLE.ORG</v>
      </c>
      <c r="B368" s="15" t="str">
        <f t="shared" si="18"/>
        <v/>
      </c>
      <c r="D368" s="16" t="str">
        <f t="shared" si="17"/>
        <v/>
      </c>
      <c r="E368" s="21"/>
      <c r="F368" s="7"/>
      <c r="G368" s="19"/>
      <c r="H368" s="17"/>
      <c r="I368" s="1"/>
      <c r="N368" s="1"/>
      <c r="O368" s="1"/>
      <c r="P368" s="18"/>
      <c r="Q368" s="18"/>
      <c r="R368" s="18"/>
      <c r="S368" s="18"/>
      <c r="T368" s="18"/>
      <c r="U368" s="18"/>
      <c r="V368" s="18"/>
      <c r="W368" s="18"/>
      <c r="X368" s="18"/>
      <c r="Y368" s="18"/>
      <c r="Z368" s="18"/>
      <c r="AA368" s="18"/>
      <c r="AB368" s="18"/>
      <c r="AC368" s="18"/>
      <c r="AD368" s="18"/>
      <c r="AE368" s="15"/>
      <c r="AF368" s="15"/>
    </row>
    <row r="369" spans="1:32" x14ac:dyDescent="0.25">
      <c r="A369" t="str">
        <f t="shared" ca="1" si="16"/>
        <v>20140825-000369--190001000000@LIBRARY.NASHVILLE.ORG</v>
      </c>
      <c r="B369" s="15" t="str">
        <f t="shared" si="18"/>
        <v/>
      </c>
      <c r="D369" s="16" t="str">
        <f t="shared" si="17"/>
        <v/>
      </c>
      <c r="E369" s="21"/>
      <c r="F369" s="7"/>
      <c r="G369" s="19"/>
      <c r="H369" s="17"/>
      <c r="I369" s="1"/>
      <c r="N369" s="1"/>
      <c r="O369" s="1"/>
      <c r="P369" s="18"/>
      <c r="Q369" s="18"/>
      <c r="R369" s="18"/>
      <c r="S369" s="18"/>
      <c r="T369" s="18"/>
      <c r="U369" s="18"/>
      <c r="V369" s="18"/>
      <c r="W369" s="18"/>
      <c r="X369" s="18"/>
      <c r="Y369" s="18"/>
      <c r="Z369" s="18"/>
      <c r="AA369" s="18"/>
      <c r="AB369" s="18"/>
      <c r="AC369" s="18"/>
      <c r="AD369" s="18"/>
      <c r="AE369" s="15"/>
      <c r="AF369" s="15"/>
    </row>
    <row r="370" spans="1:32" x14ac:dyDescent="0.25">
      <c r="A370" t="str">
        <f t="shared" ca="1" si="16"/>
        <v>20140825-000370--190001000000@LIBRARY.NASHVILLE.ORG</v>
      </c>
      <c r="B370" s="15" t="str">
        <f t="shared" si="18"/>
        <v/>
      </c>
      <c r="D370" s="16" t="str">
        <f t="shared" si="17"/>
        <v/>
      </c>
      <c r="E370" s="21"/>
      <c r="F370" s="7"/>
      <c r="G370" s="19"/>
      <c r="H370" s="17"/>
      <c r="I370" s="1"/>
      <c r="N370" s="1"/>
      <c r="O370" s="1"/>
      <c r="P370" s="18"/>
      <c r="Q370" s="18"/>
      <c r="R370" s="18"/>
      <c r="S370" s="18"/>
      <c r="T370" s="18"/>
      <c r="U370" s="18"/>
      <c r="V370" s="18"/>
      <c r="W370" s="18"/>
      <c r="X370" s="18"/>
      <c r="Y370" s="18"/>
      <c r="Z370" s="18"/>
      <c r="AA370" s="18"/>
      <c r="AB370" s="18"/>
      <c r="AC370" s="18"/>
      <c r="AD370" s="18"/>
      <c r="AE370" s="15"/>
      <c r="AF370" s="15"/>
    </row>
    <row r="371" spans="1:32" x14ac:dyDescent="0.25">
      <c r="A371" t="str">
        <f t="shared" ca="1" si="16"/>
        <v>20140825-000371--190001000000@LIBRARY.NASHVILLE.ORG</v>
      </c>
      <c r="B371" s="15" t="str">
        <f t="shared" si="18"/>
        <v/>
      </c>
      <c r="D371" s="16" t="str">
        <f t="shared" si="17"/>
        <v/>
      </c>
      <c r="E371" s="21"/>
      <c r="F371" s="7"/>
      <c r="G371" s="19"/>
      <c r="H371" s="17"/>
      <c r="I371" s="1"/>
      <c r="N371" s="1"/>
      <c r="O371" s="1"/>
      <c r="P371" s="18"/>
      <c r="Q371" s="18"/>
      <c r="R371" s="18"/>
      <c r="S371" s="18"/>
      <c r="T371" s="18"/>
      <c r="U371" s="18"/>
      <c r="V371" s="18"/>
      <c r="W371" s="18"/>
      <c r="X371" s="18"/>
      <c r="Y371" s="18"/>
      <c r="Z371" s="18"/>
      <c r="AA371" s="18"/>
      <c r="AB371" s="18"/>
      <c r="AC371" s="18"/>
      <c r="AD371" s="18"/>
      <c r="AE371" s="15"/>
      <c r="AF371" s="15"/>
    </row>
    <row r="372" spans="1:32" x14ac:dyDescent="0.25">
      <c r="A372" t="str">
        <f t="shared" ca="1" si="16"/>
        <v>20140825-000372--190001000000@LIBRARY.NASHVILLE.ORG</v>
      </c>
      <c r="B372" s="15" t="str">
        <f t="shared" si="18"/>
        <v/>
      </c>
      <c r="D372" s="16" t="str">
        <f t="shared" si="17"/>
        <v/>
      </c>
      <c r="E372" s="21"/>
      <c r="F372" s="7"/>
      <c r="G372" s="19"/>
      <c r="H372" s="17"/>
      <c r="I372" s="1"/>
      <c r="N372" s="1"/>
      <c r="O372" s="1"/>
      <c r="P372" s="18"/>
      <c r="Q372" s="18"/>
      <c r="R372" s="18"/>
      <c r="S372" s="18"/>
      <c r="T372" s="18"/>
      <c r="U372" s="18"/>
      <c r="V372" s="18"/>
      <c r="W372" s="18"/>
      <c r="X372" s="18"/>
      <c r="Y372" s="18"/>
      <c r="Z372" s="18"/>
      <c r="AA372" s="18"/>
      <c r="AB372" s="18"/>
      <c r="AC372" s="18"/>
      <c r="AD372" s="18"/>
      <c r="AE372" s="15"/>
      <c r="AF372" s="15"/>
    </row>
    <row r="373" spans="1:32" x14ac:dyDescent="0.25">
      <c r="A373" t="str">
        <f t="shared" ca="1" si="16"/>
        <v>20140825-000373--190001000000@LIBRARY.NASHVILLE.ORG</v>
      </c>
      <c r="B373" s="15" t="str">
        <f t="shared" si="18"/>
        <v/>
      </c>
      <c r="D373" s="16" t="str">
        <f t="shared" si="17"/>
        <v/>
      </c>
      <c r="E373" s="21"/>
      <c r="F373" s="7"/>
      <c r="G373" s="19"/>
      <c r="H373" s="17"/>
      <c r="I373" s="1"/>
      <c r="N373" s="1"/>
      <c r="O373" s="1"/>
      <c r="P373" s="18"/>
      <c r="Q373" s="18"/>
      <c r="R373" s="18"/>
      <c r="S373" s="18"/>
      <c r="T373" s="18"/>
      <c r="U373" s="18"/>
      <c r="V373" s="18"/>
      <c r="W373" s="18"/>
      <c r="X373" s="18"/>
      <c r="Y373" s="18"/>
      <c r="Z373" s="18"/>
      <c r="AA373" s="18"/>
      <c r="AB373" s="18"/>
      <c r="AC373" s="18"/>
      <c r="AD373" s="18"/>
      <c r="AE373" s="15"/>
      <c r="AF373" s="15"/>
    </row>
    <row r="374" spans="1:32" x14ac:dyDescent="0.25">
      <c r="A374" t="str">
        <f t="shared" ca="1" si="16"/>
        <v>20140825-000374--190001000000@LIBRARY.NASHVILLE.ORG</v>
      </c>
      <c r="B374" s="15" t="str">
        <f t="shared" si="18"/>
        <v/>
      </c>
      <c r="D374" s="16" t="str">
        <f t="shared" si="17"/>
        <v/>
      </c>
      <c r="E374" s="21"/>
      <c r="F374" s="7"/>
      <c r="G374" s="19"/>
      <c r="H374" s="17"/>
      <c r="I374" s="1"/>
      <c r="N374" s="1"/>
      <c r="O374" s="1"/>
      <c r="P374" s="18"/>
      <c r="Q374" s="18"/>
      <c r="R374" s="18"/>
      <c r="S374" s="18"/>
      <c r="T374" s="18"/>
      <c r="U374" s="18"/>
      <c r="V374" s="18"/>
      <c r="W374" s="18"/>
      <c r="X374" s="18"/>
      <c r="Y374" s="18"/>
      <c r="Z374" s="18"/>
      <c r="AA374" s="18"/>
      <c r="AB374" s="18"/>
      <c r="AC374" s="18"/>
      <c r="AD374" s="18"/>
      <c r="AE374" s="15"/>
      <c r="AF374" s="15"/>
    </row>
    <row r="375" spans="1:32" x14ac:dyDescent="0.25">
      <c r="A375" t="str">
        <f t="shared" ca="1" si="16"/>
        <v>20140825-000375--190001000000@LIBRARY.NASHVILLE.ORG</v>
      </c>
      <c r="B375" s="15" t="str">
        <f t="shared" si="18"/>
        <v/>
      </c>
      <c r="D375" s="16" t="str">
        <f t="shared" si="17"/>
        <v/>
      </c>
      <c r="E375" s="21"/>
      <c r="F375" s="7"/>
      <c r="G375" s="19"/>
      <c r="H375" s="17"/>
      <c r="I375" s="1"/>
      <c r="N375" s="1"/>
      <c r="O375" s="1"/>
      <c r="P375" s="18"/>
      <c r="Q375" s="18"/>
      <c r="R375" s="18"/>
      <c r="S375" s="18"/>
      <c r="T375" s="18"/>
      <c r="U375" s="18"/>
      <c r="V375" s="18"/>
      <c r="W375" s="18"/>
      <c r="X375" s="18"/>
      <c r="Y375" s="18"/>
      <c r="Z375" s="18"/>
      <c r="AA375" s="18"/>
      <c r="AB375" s="18"/>
      <c r="AC375" s="18"/>
      <c r="AD375" s="18"/>
      <c r="AE375" s="15"/>
      <c r="AF375" s="15"/>
    </row>
    <row r="376" spans="1:32" x14ac:dyDescent="0.25">
      <c r="A376" t="str">
        <f t="shared" ca="1" si="16"/>
        <v>20140825-000376--190001000000@LIBRARY.NASHVILLE.ORG</v>
      </c>
      <c r="B376" s="15" t="str">
        <f t="shared" si="18"/>
        <v/>
      </c>
      <c r="D376" s="16" t="str">
        <f t="shared" si="17"/>
        <v/>
      </c>
      <c r="E376" s="21"/>
      <c r="F376" s="7"/>
      <c r="G376" s="19"/>
      <c r="H376" s="17"/>
      <c r="I376" s="1"/>
      <c r="N376" s="1"/>
      <c r="O376" s="1"/>
      <c r="P376" s="18"/>
      <c r="Q376" s="18"/>
      <c r="R376" s="18"/>
      <c r="S376" s="18"/>
      <c r="T376" s="18"/>
      <c r="U376" s="18"/>
      <c r="V376" s="18"/>
      <c r="W376" s="18"/>
      <c r="X376" s="18"/>
      <c r="Y376" s="18"/>
      <c r="Z376" s="18"/>
      <c r="AA376" s="18"/>
      <c r="AB376" s="18"/>
      <c r="AC376" s="18"/>
      <c r="AD376" s="18"/>
      <c r="AE376" s="15"/>
      <c r="AF376" s="15"/>
    </row>
    <row r="377" spans="1:32" x14ac:dyDescent="0.25">
      <c r="A377" t="str">
        <f t="shared" ca="1" si="16"/>
        <v>20140825-000377--190001000000@LIBRARY.NASHVILLE.ORG</v>
      </c>
      <c r="B377" s="15" t="str">
        <f t="shared" si="18"/>
        <v/>
      </c>
      <c r="D377" s="16" t="str">
        <f t="shared" si="17"/>
        <v/>
      </c>
      <c r="E377" s="21"/>
      <c r="F377" s="7"/>
      <c r="G377" s="19"/>
      <c r="H377" s="17"/>
      <c r="I377" s="1"/>
      <c r="N377" s="1"/>
      <c r="O377" s="1"/>
      <c r="P377" s="18"/>
      <c r="Q377" s="18"/>
      <c r="R377" s="18"/>
      <c r="S377" s="18"/>
      <c r="T377" s="18"/>
      <c r="U377" s="18"/>
      <c r="V377" s="18"/>
      <c r="W377" s="18"/>
      <c r="X377" s="18"/>
      <c r="Y377" s="18"/>
      <c r="Z377" s="18"/>
      <c r="AA377" s="18"/>
      <c r="AB377" s="18"/>
      <c r="AC377" s="18"/>
      <c r="AD377" s="18"/>
      <c r="AE377" s="15"/>
      <c r="AF377" s="15"/>
    </row>
    <row r="378" spans="1:32" x14ac:dyDescent="0.25">
      <c r="A378" t="str">
        <f t="shared" ca="1" si="16"/>
        <v>20140825-000378--190001000000@LIBRARY.NASHVILLE.ORG</v>
      </c>
      <c r="B378" s="15" t="str">
        <f t="shared" si="18"/>
        <v/>
      </c>
      <c r="D378" s="16" t="str">
        <f t="shared" si="17"/>
        <v/>
      </c>
      <c r="E378" s="21"/>
      <c r="F378" s="7"/>
      <c r="G378" s="19"/>
      <c r="H378" s="17"/>
      <c r="I378" s="1"/>
      <c r="N378" s="1"/>
      <c r="O378" s="1"/>
      <c r="P378" s="18"/>
      <c r="Q378" s="18"/>
      <c r="R378" s="18"/>
      <c r="S378" s="18"/>
      <c r="T378" s="18"/>
      <c r="U378" s="18"/>
      <c r="V378" s="18"/>
      <c r="W378" s="18"/>
      <c r="X378" s="18"/>
      <c r="Y378" s="18"/>
      <c r="Z378" s="18"/>
      <c r="AA378" s="18"/>
      <c r="AB378" s="18"/>
      <c r="AC378" s="18"/>
      <c r="AD378" s="18"/>
      <c r="AE378" s="15"/>
      <c r="AF378" s="15"/>
    </row>
    <row r="379" spans="1:32" x14ac:dyDescent="0.25">
      <c r="A379" t="str">
        <f t="shared" ca="1" si="16"/>
        <v>20140825-000379--190001000000@LIBRARY.NASHVILLE.ORG</v>
      </c>
      <c r="B379" s="15" t="str">
        <f t="shared" si="18"/>
        <v/>
      </c>
      <c r="D379" s="16" t="str">
        <f t="shared" si="17"/>
        <v/>
      </c>
      <c r="E379" s="21"/>
      <c r="F379" s="7"/>
      <c r="G379" s="19"/>
      <c r="H379" s="17"/>
      <c r="I379" s="1"/>
      <c r="N379" s="1"/>
      <c r="O379" s="1"/>
      <c r="P379" s="18"/>
      <c r="Q379" s="18"/>
      <c r="R379" s="18"/>
      <c r="S379" s="18"/>
      <c r="T379" s="18"/>
      <c r="U379" s="18"/>
      <c r="V379" s="18"/>
      <c r="W379" s="18"/>
      <c r="X379" s="18"/>
      <c r="Y379" s="18"/>
      <c r="Z379" s="18"/>
      <c r="AA379" s="18"/>
      <c r="AB379" s="18"/>
      <c r="AC379" s="18"/>
      <c r="AD379" s="18"/>
      <c r="AE379" s="15"/>
      <c r="AF379" s="15"/>
    </row>
    <row r="380" spans="1:32" x14ac:dyDescent="0.25">
      <c r="A380" t="str">
        <f t="shared" ca="1" si="16"/>
        <v>20140825-000380--190001000000@LIBRARY.NASHVILLE.ORG</v>
      </c>
      <c r="B380" s="15" t="str">
        <f t="shared" si="18"/>
        <v/>
      </c>
      <c r="D380" s="16" t="str">
        <f t="shared" si="17"/>
        <v/>
      </c>
      <c r="E380" s="21"/>
      <c r="F380" s="7"/>
      <c r="G380" s="19"/>
      <c r="H380" s="17"/>
      <c r="I380" s="1"/>
      <c r="N380" s="1"/>
      <c r="O380" s="1"/>
      <c r="P380" s="18"/>
      <c r="Q380" s="18"/>
      <c r="R380" s="18"/>
      <c r="S380" s="18"/>
      <c r="T380" s="18"/>
      <c r="U380" s="18"/>
      <c r="V380" s="18"/>
      <c r="W380" s="18"/>
      <c r="X380" s="18"/>
      <c r="Y380" s="18"/>
      <c r="Z380" s="18"/>
      <c r="AA380" s="18"/>
      <c r="AB380" s="18"/>
      <c r="AC380" s="18"/>
      <c r="AD380" s="18"/>
      <c r="AE380" s="15"/>
      <c r="AF380" s="15"/>
    </row>
    <row r="381" spans="1:32" x14ac:dyDescent="0.25">
      <c r="A381" t="str">
        <f t="shared" ca="1" si="16"/>
        <v>20140825-000381--190001000000@LIBRARY.NASHVILLE.ORG</v>
      </c>
      <c r="B381" s="15" t="str">
        <f t="shared" si="18"/>
        <v/>
      </c>
      <c r="D381" s="16" t="str">
        <f t="shared" si="17"/>
        <v/>
      </c>
      <c r="E381" s="21"/>
      <c r="F381" s="7"/>
      <c r="G381" s="19"/>
      <c r="H381" s="17"/>
      <c r="I381" s="1"/>
      <c r="N381" s="1"/>
      <c r="O381" s="1"/>
      <c r="P381" s="18"/>
      <c r="Q381" s="18"/>
      <c r="R381" s="18"/>
      <c r="S381" s="18"/>
      <c r="T381" s="18"/>
      <c r="U381" s="18"/>
      <c r="V381" s="18"/>
      <c r="W381" s="18"/>
      <c r="X381" s="18"/>
      <c r="Y381" s="18"/>
      <c r="Z381" s="18"/>
      <c r="AA381" s="18"/>
      <c r="AB381" s="18"/>
      <c r="AC381" s="18"/>
      <c r="AD381" s="18"/>
      <c r="AE381" s="15"/>
      <c r="AF381" s="15"/>
    </row>
    <row r="382" spans="1:32" x14ac:dyDescent="0.25">
      <c r="A382" t="str">
        <f t="shared" ca="1" si="16"/>
        <v>20140825-000382--190001000000@LIBRARY.NASHVILLE.ORG</v>
      </c>
      <c r="B382" s="15" t="str">
        <f t="shared" si="18"/>
        <v/>
      </c>
      <c r="D382" s="16" t="str">
        <f t="shared" si="17"/>
        <v/>
      </c>
      <c r="E382" s="21"/>
      <c r="F382" s="7"/>
      <c r="G382" s="19"/>
      <c r="H382" s="17"/>
      <c r="I382" s="1"/>
      <c r="N382" s="1"/>
      <c r="O382" s="1"/>
      <c r="P382" s="18"/>
      <c r="Q382" s="18"/>
      <c r="R382" s="18"/>
      <c r="S382" s="18"/>
      <c r="T382" s="18"/>
      <c r="U382" s="18"/>
      <c r="V382" s="18"/>
      <c r="W382" s="18"/>
      <c r="X382" s="18"/>
      <c r="Y382" s="18"/>
      <c r="Z382" s="18"/>
      <c r="AA382" s="18"/>
      <c r="AB382" s="18"/>
      <c r="AC382" s="18"/>
      <c r="AD382" s="18"/>
      <c r="AE382" s="15"/>
      <c r="AF382" s="15"/>
    </row>
    <row r="383" spans="1:32" x14ac:dyDescent="0.25">
      <c r="A383" t="str">
        <f t="shared" ca="1" si="16"/>
        <v>20140825-000383--190001000000@LIBRARY.NASHVILLE.ORG</v>
      </c>
      <c r="B383" s="15" t="str">
        <f t="shared" si="18"/>
        <v/>
      </c>
      <c r="D383" s="16" t="str">
        <f t="shared" si="17"/>
        <v/>
      </c>
      <c r="E383" s="21"/>
      <c r="F383" s="7"/>
      <c r="G383" s="19"/>
      <c r="H383" s="17"/>
      <c r="I383" s="1"/>
      <c r="N383" s="1"/>
      <c r="O383" s="1"/>
      <c r="P383" s="18"/>
      <c r="Q383" s="18"/>
      <c r="R383" s="18"/>
      <c r="S383" s="18"/>
      <c r="T383" s="18"/>
      <c r="U383" s="18"/>
      <c r="V383" s="18"/>
      <c r="W383" s="18"/>
      <c r="X383" s="18"/>
      <c r="Y383" s="18"/>
      <c r="Z383" s="18"/>
      <c r="AA383" s="18"/>
      <c r="AB383" s="18"/>
      <c r="AC383" s="18"/>
      <c r="AD383" s="18"/>
      <c r="AE383" s="15"/>
      <c r="AF383" s="15"/>
    </row>
    <row r="384" spans="1:32" x14ac:dyDescent="0.25">
      <c r="A384" t="str">
        <f t="shared" ca="1" si="16"/>
        <v>20140825-000384--190001000000@LIBRARY.NASHVILLE.ORG</v>
      </c>
      <c r="B384" s="15" t="str">
        <f t="shared" si="18"/>
        <v/>
      </c>
      <c r="D384" s="16" t="str">
        <f t="shared" si="17"/>
        <v/>
      </c>
      <c r="E384" s="21"/>
      <c r="F384" s="7"/>
      <c r="G384" s="19"/>
      <c r="H384" s="17"/>
      <c r="I384" s="1"/>
      <c r="N384" s="1"/>
      <c r="O384" s="1"/>
      <c r="P384" s="18"/>
      <c r="Q384" s="18"/>
      <c r="R384" s="18"/>
      <c r="S384" s="18"/>
      <c r="T384" s="18"/>
      <c r="U384" s="18"/>
      <c r="V384" s="18"/>
      <c r="W384" s="18"/>
      <c r="X384" s="18"/>
      <c r="Y384" s="18"/>
      <c r="Z384" s="18"/>
      <c r="AA384" s="18"/>
      <c r="AB384" s="18"/>
      <c r="AC384" s="18"/>
      <c r="AD384" s="18"/>
      <c r="AE384" s="15"/>
      <c r="AF384" s="15"/>
    </row>
    <row r="385" spans="1:32" x14ac:dyDescent="0.25">
      <c r="A385" t="str">
        <f t="shared" ca="1" si="16"/>
        <v>20140825-000385--190001000000@LIBRARY.NASHVILLE.ORG</v>
      </c>
      <c r="B385" s="15" t="str">
        <f t="shared" si="18"/>
        <v/>
      </c>
      <c r="D385" s="16" t="str">
        <f t="shared" si="17"/>
        <v/>
      </c>
      <c r="E385" s="21"/>
      <c r="F385" s="7"/>
      <c r="G385" s="19"/>
      <c r="H385" s="17"/>
      <c r="I385" s="1"/>
      <c r="N385" s="1"/>
      <c r="O385" s="1"/>
      <c r="P385" s="18"/>
      <c r="Q385" s="18"/>
      <c r="R385" s="18"/>
      <c r="S385" s="18"/>
      <c r="T385" s="18"/>
      <c r="U385" s="18"/>
      <c r="V385" s="18"/>
      <c r="W385" s="18"/>
      <c r="X385" s="18"/>
      <c r="Y385" s="18"/>
      <c r="Z385" s="18"/>
      <c r="AA385" s="18"/>
      <c r="AB385" s="18"/>
      <c r="AC385" s="18"/>
      <c r="AD385" s="18"/>
      <c r="AE385" s="15"/>
      <c r="AF385" s="15"/>
    </row>
    <row r="386" spans="1:32" x14ac:dyDescent="0.25">
      <c r="A386" t="str">
        <f t="shared" ref="A386:A449" ca="1" si="19">UPPER(CONCATENATE(TEXT(TODAY(),"yyyymmdd"),"-",TEXT(ROW(),"000000"),"-",SUBSTITUTE(B386," ",""),"-",TEXT(C386,"yyyymmdd"),TEXT(E386,"hhmm"),"@library.nashville.org"))</f>
        <v>20140825-000386--190001000000@LIBRARY.NASHVILLE.ORG</v>
      </c>
      <c r="B386" s="15" t="str">
        <f t="shared" si="18"/>
        <v/>
      </c>
      <c r="D386" s="16" t="str">
        <f t="shared" si="17"/>
        <v/>
      </c>
      <c r="E386" s="21"/>
      <c r="F386" s="7"/>
      <c r="G386" s="19"/>
      <c r="H386" s="17"/>
      <c r="I386" s="1"/>
      <c r="N386" s="1"/>
      <c r="O386" s="1"/>
      <c r="P386" s="18"/>
      <c r="Q386" s="18"/>
      <c r="R386" s="18"/>
      <c r="S386" s="18"/>
      <c r="T386" s="18"/>
      <c r="U386" s="18"/>
      <c r="V386" s="18"/>
      <c r="W386" s="18"/>
      <c r="X386" s="18"/>
      <c r="Y386" s="18"/>
      <c r="Z386" s="18"/>
      <c r="AA386" s="18"/>
      <c r="AB386" s="18"/>
      <c r="AC386" s="18"/>
      <c r="AD386" s="18"/>
      <c r="AE386" s="15"/>
      <c r="AF386" s="15"/>
    </row>
    <row r="387" spans="1:32" x14ac:dyDescent="0.25">
      <c r="A387" t="str">
        <f t="shared" ca="1" si="19"/>
        <v>20140825-000387--190001000000@LIBRARY.NASHVILLE.ORG</v>
      </c>
      <c r="B387" s="15" t="str">
        <f t="shared" si="18"/>
        <v/>
      </c>
      <c r="D387" s="16" t="str">
        <f t="shared" ref="D387:D450" si="20">IF(C387=0,"",TEXT($C387,"dddd"))</f>
        <v/>
      </c>
      <c r="E387" s="21"/>
      <c r="F387" s="7"/>
      <c r="G387" s="19"/>
      <c r="H387" s="17"/>
      <c r="I387" s="1"/>
      <c r="N387" s="1"/>
      <c r="O387" s="1"/>
      <c r="P387" s="18"/>
      <c r="Q387" s="18"/>
      <c r="R387" s="18"/>
      <c r="S387" s="18"/>
      <c r="T387" s="18"/>
      <c r="U387" s="18"/>
      <c r="V387" s="18"/>
      <c r="W387" s="18"/>
      <c r="X387" s="18"/>
      <c r="Y387" s="18"/>
      <c r="Z387" s="18"/>
      <c r="AA387" s="18"/>
      <c r="AB387" s="18"/>
      <c r="AC387" s="18"/>
      <c r="AD387" s="18"/>
      <c r="AE387" s="15"/>
      <c r="AF387" s="15"/>
    </row>
    <row r="388" spans="1:32" x14ac:dyDescent="0.25">
      <c r="A388" t="str">
        <f t="shared" ca="1" si="19"/>
        <v>20140825-000388--190001000000@LIBRARY.NASHVILLE.ORG</v>
      </c>
      <c r="B388" s="15" t="str">
        <f t="shared" si="18"/>
        <v/>
      </c>
      <c r="D388" s="16" t="str">
        <f t="shared" si="20"/>
        <v/>
      </c>
      <c r="E388" s="21"/>
      <c r="F388" s="7"/>
      <c r="G388" s="19"/>
      <c r="H388" s="17"/>
      <c r="I388" s="1"/>
      <c r="N388" s="1"/>
      <c r="O388" s="1"/>
      <c r="P388" s="18"/>
      <c r="Q388" s="18"/>
      <c r="R388" s="18"/>
      <c r="S388" s="18"/>
      <c r="T388" s="18"/>
      <c r="U388" s="18"/>
      <c r="V388" s="18"/>
      <c r="W388" s="18"/>
      <c r="X388" s="18"/>
      <c r="Y388" s="18"/>
      <c r="Z388" s="18"/>
      <c r="AA388" s="18"/>
      <c r="AB388" s="18"/>
      <c r="AC388" s="18"/>
      <c r="AD388" s="18"/>
      <c r="AE388" s="15"/>
      <c r="AF388" s="15"/>
    </row>
    <row r="389" spans="1:32" x14ac:dyDescent="0.25">
      <c r="A389" t="str">
        <f t="shared" ca="1" si="19"/>
        <v>20140825-000389--190001000000@LIBRARY.NASHVILLE.ORG</v>
      </c>
      <c r="B389" s="15" t="str">
        <f t="shared" si="18"/>
        <v/>
      </c>
      <c r="D389" s="16" t="str">
        <f t="shared" si="20"/>
        <v/>
      </c>
      <c r="E389" s="21"/>
      <c r="F389" s="7"/>
      <c r="G389" s="19"/>
      <c r="H389" s="17"/>
      <c r="I389" s="1"/>
      <c r="N389" s="1"/>
      <c r="O389" s="1"/>
      <c r="P389" s="18"/>
      <c r="Q389" s="18"/>
      <c r="R389" s="18"/>
      <c r="S389" s="18"/>
      <c r="T389" s="18"/>
      <c r="U389" s="18"/>
      <c r="V389" s="18"/>
      <c r="W389" s="18"/>
      <c r="X389" s="18"/>
      <c r="Y389" s="18"/>
      <c r="Z389" s="18"/>
      <c r="AA389" s="18"/>
      <c r="AB389" s="18"/>
      <c r="AC389" s="18"/>
      <c r="AD389" s="18"/>
      <c r="AE389" s="15"/>
      <c r="AF389" s="15"/>
    </row>
    <row r="390" spans="1:32" x14ac:dyDescent="0.25">
      <c r="A390" t="str">
        <f t="shared" ca="1" si="19"/>
        <v>20140825-000390--190001000000@LIBRARY.NASHVILLE.ORG</v>
      </c>
      <c r="B390" s="15" t="str">
        <f t="shared" si="18"/>
        <v/>
      </c>
      <c r="D390" s="16" t="str">
        <f t="shared" si="20"/>
        <v/>
      </c>
      <c r="E390" s="21"/>
      <c r="F390" s="7"/>
      <c r="G390" s="19"/>
      <c r="H390" s="17"/>
      <c r="I390" s="1"/>
      <c r="N390" s="1"/>
      <c r="O390" s="1"/>
      <c r="P390" s="18"/>
      <c r="Q390" s="18"/>
      <c r="R390" s="18"/>
      <c r="S390" s="18"/>
      <c r="T390" s="18"/>
      <c r="U390" s="18"/>
      <c r="V390" s="18"/>
      <c r="W390" s="18"/>
      <c r="X390" s="18"/>
      <c r="Y390" s="18"/>
      <c r="Z390" s="18"/>
      <c r="AA390" s="18"/>
      <c r="AB390" s="18"/>
      <c r="AC390" s="18"/>
      <c r="AD390" s="18"/>
      <c r="AE390" s="15"/>
      <c r="AF390" s="15"/>
    </row>
    <row r="391" spans="1:32" x14ac:dyDescent="0.25">
      <c r="A391" t="str">
        <f t="shared" ca="1" si="19"/>
        <v>20140825-000391--190001000000@LIBRARY.NASHVILLE.ORG</v>
      </c>
      <c r="B391" s="15" t="str">
        <f t="shared" si="18"/>
        <v/>
      </c>
      <c r="D391" s="16" t="str">
        <f t="shared" si="20"/>
        <v/>
      </c>
      <c r="E391" s="21"/>
      <c r="F391" s="7"/>
      <c r="G391" s="19"/>
      <c r="H391" s="17"/>
      <c r="I391" s="1"/>
      <c r="N391" s="1"/>
      <c r="O391" s="1"/>
      <c r="P391" s="18"/>
      <c r="Q391" s="18"/>
      <c r="R391" s="18"/>
      <c r="S391" s="18"/>
      <c r="T391" s="18"/>
      <c r="U391" s="18"/>
      <c r="V391" s="18"/>
      <c r="W391" s="18"/>
      <c r="X391" s="18"/>
      <c r="Y391" s="18"/>
      <c r="Z391" s="18"/>
      <c r="AA391" s="18"/>
      <c r="AB391" s="18"/>
      <c r="AC391" s="18"/>
      <c r="AD391" s="18"/>
      <c r="AE391" s="15"/>
      <c r="AF391" s="15"/>
    </row>
    <row r="392" spans="1:32" x14ac:dyDescent="0.25">
      <c r="A392" t="str">
        <f t="shared" ca="1" si="19"/>
        <v>20140825-000392--190001000000@LIBRARY.NASHVILLE.ORG</v>
      </c>
      <c r="B392" s="15" t="str">
        <f t="shared" si="18"/>
        <v/>
      </c>
      <c r="D392" s="16" t="str">
        <f t="shared" si="20"/>
        <v/>
      </c>
      <c r="E392" s="21"/>
      <c r="F392" s="7"/>
      <c r="G392" s="19"/>
      <c r="H392" s="17"/>
      <c r="I392" s="1"/>
      <c r="N392" s="1"/>
      <c r="O392" s="1"/>
      <c r="P392" s="18"/>
      <c r="Q392" s="18"/>
      <c r="R392" s="18"/>
      <c r="S392" s="18"/>
      <c r="T392" s="18"/>
      <c r="U392" s="18"/>
      <c r="V392" s="18"/>
      <c r="W392" s="18"/>
      <c r="X392" s="18"/>
      <c r="Y392" s="18"/>
      <c r="Z392" s="18"/>
      <c r="AA392" s="18"/>
      <c r="AB392" s="18"/>
      <c r="AC392" s="18"/>
      <c r="AD392" s="18"/>
      <c r="AE392" s="15"/>
      <c r="AF392" s="15"/>
    </row>
    <row r="393" spans="1:32" x14ac:dyDescent="0.25">
      <c r="A393" t="str">
        <f t="shared" ca="1" si="19"/>
        <v>20140825-000393--190001000000@LIBRARY.NASHVILLE.ORG</v>
      </c>
      <c r="B393" s="15" t="str">
        <f t="shared" si="18"/>
        <v/>
      </c>
      <c r="D393" s="16" t="str">
        <f t="shared" si="20"/>
        <v/>
      </c>
      <c r="E393" s="21"/>
      <c r="F393" s="7"/>
      <c r="G393" s="19"/>
      <c r="H393" s="17"/>
      <c r="I393" s="1"/>
      <c r="N393" s="1"/>
      <c r="O393" s="1"/>
      <c r="P393" s="18"/>
      <c r="Q393" s="18"/>
      <c r="R393" s="18"/>
      <c r="S393" s="18"/>
      <c r="T393" s="18"/>
      <c r="U393" s="18"/>
      <c r="V393" s="18"/>
      <c r="W393" s="18"/>
      <c r="X393" s="18"/>
      <c r="Y393" s="18"/>
      <c r="Z393" s="18"/>
      <c r="AA393" s="18"/>
      <c r="AB393" s="18"/>
      <c r="AC393" s="18"/>
      <c r="AD393" s="18"/>
      <c r="AE393" s="15"/>
      <c r="AF393" s="15"/>
    </row>
    <row r="394" spans="1:32" x14ac:dyDescent="0.25">
      <c r="A394" t="str">
        <f t="shared" ca="1" si="19"/>
        <v>20140825-000394--190001000000@LIBRARY.NASHVILLE.ORG</v>
      </c>
      <c r="B394" s="15" t="str">
        <f t="shared" si="18"/>
        <v/>
      </c>
      <c r="D394" s="16" t="str">
        <f t="shared" si="20"/>
        <v/>
      </c>
      <c r="E394" s="21"/>
      <c r="F394" s="7"/>
      <c r="G394" s="19"/>
      <c r="H394" s="17"/>
      <c r="I394" s="1"/>
      <c r="N394" s="1"/>
      <c r="O394" s="1"/>
      <c r="P394" s="18"/>
      <c r="Q394" s="18"/>
      <c r="R394" s="18"/>
      <c r="S394" s="18"/>
      <c r="T394" s="18"/>
      <c r="U394" s="18"/>
      <c r="V394" s="18"/>
      <c r="W394" s="18"/>
      <c r="X394" s="18"/>
      <c r="Y394" s="18"/>
      <c r="Z394" s="18"/>
      <c r="AA394" s="18"/>
      <c r="AB394" s="18"/>
      <c r="AC394" s="18"/>
      <c r="AD394" s="18"/>
      <c r="AE394" s="15"/>
      <c r="AF394" s="15"/>
    </row>
    <row r="395" spans="1:32" x14ac:dyDescent="0.25">
      <c r="A395" t="str">
        <f t="shared" ca="1" si="19"/>
        <v>20140825-000395--190001000000@LIBRARY.NASHVILLE.ORG</v>
      </c>
      <c r="B395" s="15" t="str">
        <f t="shared" si="18"/>
        <v/>
      </c>
      <c r="D395" s="16" t="str">
        <f t="shared" si="20"/>
        <v/>
      </c>
      <c r="E395" s="21"/>
      <c r="F395" s="7"/>
      <c r="G395" s="19"/>
      <c r="H395" s="17"/>
      <c r="I395" s="1"/>
      <c r="N395" s="1"/>
      <c r="O395" s="1"/>
      <c r="P395" s="18"/>
      <c r="Q395" s="18"/>
      <c r="R395" s="18"/>
      <c r="S395" s="18"/>
      <c r="T395" s="18"/>
      <c r="U395" s="18"/>
      <c r="V395" s="18"/>
      <c r="W395" s="18"/>
      <c r="X395" s="18"/>
      <c r="Y395" s="18"/>
      <c r="Z395" s="18"/>
      <c r="AA395" s="18"/>
      <c r="AB395" s="18"/>
      <c r="AC395" s="18"/>
      <c r="AD395" s="18"/>
      <c r="AE395" s="15"/>
      <c r="AF395" s="15"/>
    </row>
    <row r="396" spans="1:32" x14ac:dyDescent="0.25">
      <c r="A396" t="str">
        <f t="shared" ca="1" si="19"/>
        <v>20140825-000396--190001000000@LIBRARY.NASHVILLE.ORG</v>
      </c>
      <c r="B396" s="15" t="str">
        <f t="shared" si="18"/>
        <v/>
      </c>
      <c r="D396" s="16" t="str">
        <f t="shared" si="20"/>
        <v/>
      </c>
      <c r="E396" s="21"/>
      <c r="F396" s="7"/>
      <c r="G396" s="19"/>
      <c r="H396" s="17"/>
      <c r="I396" s="1"/>
      <c r="N396" s="1"/>
      <c r="O396" s="1"/>
      <c r="P396" s="18"/>
      <c r="Q396" s="18"/>
      <c r="R396" s="18"/>
      <c r="S396" s="18"/>
      <c r="T396" s="18"/>
      <c r="U396" s="18"/>
      <c r="V396" s="18"/>
      <c r="W396" s="18"/>
      <c r="X396" s="18"/>
      <c r="Y396" s="18"/>
      <c r="Z396" s="18"/>
      <c r="AA396" s="18"/>
      <c r="AB396" s="18"/>
      <c r="AC396" s="18"/>
      <c r="AD396" s="18"/>
      <c r="AE396" s="15"/>
      <c r="AF396" s="15"/>
    </row>
    <row r="397" spans="1:32" x14ac:dyDescent="0.25">
      <c r="A397" t="str">
        <f t="shared" ca="1" si="19"/>
        <v>20140825-000397--190001000000@LIBRARY.NASHVILLE.ORG</v>
      </c>
      <c r="B397" s="15" t="str">
        <f t="shared" ref="B397:B460" si="21">IF($B$2=0,"",TEXT($B$2,""))</f>
        <v/>
      </c>
      <c r="D397" s="16" t="str">
        <f t="shared" si="20"/>
        <v/>
      </c>
      <c r="E397" s="21"/>
      <c r="F397" s="7"/>
      <c r="G397" s="19"/>
      <c r="H397" s="17"/>
      <c r="I397" s="1"/>
      <c r="N397" s="1"/>
      <c r="O397" s="1"/>
      <c r="P397" s="18"/>
      <c r="Q397" s="18"/>
      <c r="R397" s="18"/>
      <c r="S397" s="18"/>
      <c r="T397" s="18"/>
      <c r="U397" s="18"/>
      <c r="V397" s="18"/>
      <c r="W397" s="18"/>
      <c r="X397" s="18"/>
      <c r="Y397" s="18"/>
      <c r="Z397" s="18"/>
      <c r="AA397" s="18"/>
      <c r="AB397" s="18"/>
      <c r="AC397" s="18"/>
      <c r="AD397" s="18"/>
      <c r="AE397" s="15"/>
      <c r="AF397" s="15"/>
    </row>
    <row r="398" spans="1:32" x14ac:dyDescent="0.25">
      <c r="A398" t="str">
        <f t="shared" ca="1" si="19"/>
        <v>20140825-000398--190001000000@LIBRARY.NASHVILLE.ORG</v>
      </c>
      <c r="B398" s="15" t="str">
        <f t="shared" si="21"/>
        <v/>
      </c>
      <c r="D398" s="16" t="str">
        <f t="shared" si="20"/>
        <v/>
      </c>
      <c r="E398" s="21"/>
      <c r="F398" s="7"/>
      <c r="G398" s="19"/>
      <c r="H398" s="17"/>
      <c r="I398" s="1"/>
      <c r="N398" s="1"/>
      <c r="O398" s="1"/>
      <c r="P398" s="18"/>
      <c r="Q398" s="18"/>
      <c r="R398" s="18"/>
      <c r="S398" s="18"/>
      <c r="T398" s="18"/>
      <c r="U398" s="18"/>
      <c r="V398" s="18"/>
      <c r="W398" s="18"/>
      <c r="X398" s="18"/>
      <c r="Y398" s="18"/>
      <c r="Z398" s="18"/>
      <c r="AA398" s="18"/>
      <c r="AB398" s="18"/>
      <c r="AC398" s="18"/>
      <c r="AD398" s="18"/>
      <c r="AE398" s="15"/>
      <c r="AF398" s="15"/>
    </row>
    <row r="399" spans="1:32" x14ac:dyDescent="0.25">
      <c r="A399" t="str">
        <f t="shared" ca="1" si="19"/>
        <v>20140825-000399--190001000000@LIBRARY.NASHVILLE.ORG</v>
      </c>
      <c r="B399" s="15" t="str">
        <f t="shared" si="21"/>
        <v/>
      </c>
      <c r="D399" s="16" t="str">
        <f t="shared" si="20"/>
        <v/>
      </c>
      <c r="E399" s="21"/>
      <c r="F399" s="7"/>
      <c r="G399" s="19"/>
      <c r="H399" s="17"/>
      <c r="I399" s="1"/>
      <c r="N399" s="1"/>
      <c r="O399" s="1"/>
      <c r="P399" s="18"/>
      <c r="Q399" s="18"/>
      <c r="R399" s="18"/>
      <c r="S399" s="18"/>
      <c r="T399" s="18"/>
      <c r="U399" s="18"/>
      <c r="V399" s="18"/>
      <c r="W399" s="18"/>
      <c r="X399" s="18"/>
      <c r="Y399" s="18"/>
      <c r="Z399" s="18"/>
      <c r="AA399" s="18"/>
      <c r="AB399" s="18"/>
      <c r="AC399" s="18"/>
      <c r="AD399" s="18"/>
      <c r="AE399" s="15"/>
      <c r="AF399" s="15"/>
    </row>
    <row r="400" spans="1:32" x14ac:dyDescent="0.25">
      <c r="A400" t="str">
        <f t="shared" ca="1" si="19"/>
        <v>20140825-000400--190001000000@LIBRARY.NASHVILLE.ORG</v>
      </c>
      <c r="B400" s="15" t="str">
        <f t="shared" si="21"/>
        <v/>
      </c>
      <c r="D400" s="16" t="str">
        <f t="shared" si="20"/>
        <v/>
      </c>
      <c r="E400" s="21"/>
      <c r="F400" s="7"/>
      <c r="G400" s="19"/>
      <c r="H400" s="17"/>
      <c r="I400" s="1"/>
      <c r="N400" s="1"/>
      <c r="O400" s="1"/>
      <c r="P400" s="18"/>
      <c r="Q400" s="18"/>
      <c r="R400" s="18"/>
      <c r="S400" s="18"/>
      <c r="T400" s="18"/>
      <c r="U400" s="18"/>
      <c r="V400" s="18"/>
      <c r="W400" s="18"/>
      <c r="X400" s="18"/>
      <c r="Y400" s="18"/>
      <c r="Z400" s="18"/>
      <c r="AA400" s="18"/>
      <c r="AB400" s="18"/>
      <c r="AC400" s="18"/>
      <c r="AD400" s="18"/>
      <c r="AE400" s="15"/>
      <c r="AF400" s="15"/>
    </row>
    <row r="401" spans="1:32" x14ac:dyDescent="0.25">
      <c r="A401" t="str">
        <f t="shared" ca="1" si="19"/>
        <v>20140825-000401--190001000000@LIBRARY.NASHVILLE.ORG</v>
      </c>
      <c r="B401" s="15" t="str">
        <f t="shared" si="21"/>
        <v/>
      </c>
      <c r="D401" s="16" t="str">
        <f t="shared" si="20"/>
        <v/>
      </c>
      <c r="E401" s="21"/>
      <c r="F401" s="7"/>
      <c r="G401" s="19"/>
      <c r="H401" s="17"/>
      <c r="I401" s="1"/>
      <c r="N401" s="1"/>
      <c r="O401" s="1"/>
      <c r="P401" s="18"/>
      <c r="Q401" s="18"/>
      <c r="R401" s="18"/>
      <c r="S401" s="18"/>
      <c r="T401" s="18"/>
      <c r="U401" s="18"/>
      <c r="V401" s="18"/>
      <c r="W401" s="18"/>
      <c r="X401" s="18"/>
      <c r="Y401" s="18"/>
      <c r="Z401" s="18"/>
      <c r="AA401" s="18"/>
      <c r="AB401" s="18"/>
      <c r="AC401" s="18"/>
      <c r="AD401" s="18"/>
      <c r="AE401" s="15"/>
      <c r="AF401" s="15"/>
    </row>
    <row r="402" spans="1:32" x14ac:dyDescent="0.25">
      <c r="A402" t="str">
        <f t="shared" ca="1" si="19"/>
        <v>20140825-000402--190001000000@LIBRARY.NASHVILLE.ORG</v>
      </c>
      <c r="B402" s="15" t="str">
        <f t="shared" si="21"/>
        <v/>
      </c>
      <c r="D402" s="16" t="str">
        <f t="shared" si="20"/>
        <v/>
      </c>
      <c r="E402" s="21"/>
      <c r="F402" s="7"/>
      <c r="G402" s="19"/>
      <c r="H402" s="17"/>
      <c r="I402" s="1"/>
      <c r="N402" s="1"/>
      <c r="O402" s="1"/>
      <c r="P402" s="18"/>
      <c r="Q402" s="18"/>
      <c r="R402" s="18"/>
      <c r="S402" s="18"/>
      <c r="T402" s="18"/>
      <c r="U402" s="18"/>
      <c r="V402" s="18"/>
      <c r="W402" s="18"/>
      <c r="X402" s="18"/>
      <c r="Y402" s="18"/>
      <c r="Z402" s="18"/>
      <c r="AA402" s="18"/>
      <c r="AB402" s="18"/>
      <c r="AC402" s="18"/>
      <c r="AD402" s="18"/>
      <c r="AE402" s="15"/>
      <c r="AF402" s="15"/>
    </row>
    <row r="403" spans="1:32" x14ac:dyDescent="0.25">
      <c r="A403" t="str">
        <f t="shared" ca="1" si="19"/>
        <v>20140825-000403--190001000000@LIBRARY.NASHVILLE.ORG</v>
      </c>
      <c r="B403" s="15" t="str">
        <f t="shared" si="21"/>
        <v/>
      </c>
      <c r="D403" s="16" t="str">
        <f t="shared" si="20"/>
        <v/>
      </c>
      <c r="E403" s="21"/>
      <c r="F403" s="7"/>
      <c r="G403" s="19"/>
      <c r="H403" s="17"/>
      <c r="I403" s="1"/>
      <c r="N403" s="1"/>
      <c r="O403" s="1"/>
      <c r="P403" s="18"/>
      <c r="Q403" s="18"/>
      <c r="R403" s="18"/>
      <c r="S403" s="18"/>
      <c r="T403" s="18"/>
      <c r="U403" s="18"/>
      <c r="V403" s="18"/>
      <c r="W403" s="18"/>
      <c r="X403" s="18"/>
      <c r="Y403" s="18"/>
      <c r="Z403" s="18"/>
      <c r="AA403" s="18"/>
      <c r="AB403" s="18"/>
      <c r="AC403" s="18"/>
      <c r="AD403" s="18"/>
      <c r="AE403" s="15"/>
      <c r="AF403" s="15"/>
    </row>
    <row r="404" spans="1:32" x14ac:dyDescent="0.25">
      <c r="A404" t="str">
        <f t="shared" ca="1" si="19"/>
        <v>20140825-000404--190001000000@LIBRARY.NASHVILLE.ORG</v>
      </c>
      <c r="B404" s="15" t="str">
        <f t="shared" si="21"/>
        <v/>
      </c>
      <c r="D404" s="16" t="str">
        <f t="shared" si="20"/>
        <v/>
      </c>
      <c r="E404" s="21"/>
      <c r="F404" s="7"/>
      <c r="G404" s="19"/>
      <c r="H404" s="17"/>
      <c r="I404" s="1"/>
      <c r="N404" s="1"/>
      <c r="O404" s="1"/>
      <c r="P404" s="18"/>
      <c r="Q404" s="18"/>
      <c r="R404" s="18"/>
      <c r="S404" s="18"/>
      <c r="T404" s="18"/>
      <c r="U404" s="18"/>
      <c r="V404" s="18"/>
      <c r="W404" s="18"/>
      <c r="X404" s="18"/>
      <c r="Y404" s="18"/>
      <c r="Z404" s="18"/>
      <c r="AA404" s="18"/>
      <c r="AB404" s="18"/>
      <c r="AC404" s="18"/>
      <c r="AD404" s="18"/>
      <c r="AE404" s="15"/>
      <c r="AF404" s="15"/>
    </row>
    <row r="405" spans="1:32" x14ac:dyDescent="0.25">
      <c r="A405" t="str">
        <f t="shared" ca="1" si="19"/>
        <v>20140825-000405--190001000000@LIBRARY.NASHVILLE.ORG</v>
      </c>
      <c r="B405" s="15" t="str">
        <f t="shared" si="21"/>
        <v/>
      </c>
      <c r="D405" s="16" t="str">
        <f t="shared" si="20"/>
        <v/>
      </c>
      <c r="E405" s="21"/>
      <c r="F405" s="7"/>
      <c r="G405" s="19"/>
      <c r="H405" s="17"/>
      <c r="I405" s="1"/>
      <c r="N405" s="1"/>
      <c r="O405" s="1"/>
      <c r="P405" s="18"/>
      <c r="Q405" s="18"/>
      <c r="R405" s="18"/>
      <c r="S405" s="18"/>
      <c r="T405" s="18"/>
      <c r="U405" s="18"/>
      <c r="V405" s="18"/>
      <c r="W405" s="18"/>
      <c r="X405" s="18"/>
      <c r="Y405" s="18"/>
      <c r="Z405" s="18"/>
      <c r="AA405" s="18"/>
      <c r="AB405" s="18"/>
      <c r="AC405" s="18"/>
      <c r="AD405" s="18"/>
      <c r="AE405" s="15"/>
      <c r="AF405" s="15"/>
    </row>
    <row r="406" spans="1:32" x14ac:dyDescent="0.25">
      <c r="A406" t="str">
        <f t="shared" ca="1" si="19"/>
        <v>20140825-000406--190001000000@LIBRARY.NASHVILLE.ORG</v>
      </c>
      <c r="B406" s="15" t="str">
        <f t="shared" si="21"/>
        <v/>
      </c>
      <c r="D406" s="16" t="str">
        <f t="shared" si="20"/>
        <v/>
      </c>
      <c r="E406" s="21"/>
      <c r="F406" s="7"/>
      <c r="G406" s="19"/>
      <c r="H406" s="17"/>
      <c r="I406" s="1"/>
      <c r="N406" s="1"/>
      <c r="O406" s="1"/>
      <c r="P406" s="18"/>
      <c r="Q406" s="18"/>
      <c r="R406" s="18"/>
      <c r="S406" s="18"/>
      <c r="T406" s="18"/>
      <c r="U406" s="18"/>
      <c r="V406" s="18"/>
      <c r="W406" s="18"/>
      <c r="X406" s="18"/>
      <c r="Y406" s="18"/>
      <c r="Z406" s="18"/>
      <c r="AA406" s="18"/>
      <c r="AB406" s="18"/>
      <c r="AC406" s="18"/>
      <c r="AD406" s="18"/>
      <c r="AE406" s="15"/>
      <c r="AF406" s="15"/>
    </row>
    <row r="407" spans="1:32" x14ac:dyDescent="0.25">
      <c r="A407" t="str">
        <f t="shared" ca="1" si="19"/>
        <v>20140825-000407--190001000000@LIBRARY.NASHVILLE.ORG</v>
      </c>
      <c r="B407" s="15" t="str">
        <f t="shared" si="21"/>
        <v/>
      </c>
      <c r="D407" s="16" t="str">
        <f t="shared" si="20"/>
        <v/>
      </c>
      <c r="E407" s="21"/>
      <c r="F407" s="7"/>
      <c r="G407" s="19"/>
      <c r="H407" s="17"/>
      <c r="I407" s="1"/>
      <c r="N407" s="1"/>
      <c r="O407" s="1"/>
      <c r="P407" s="18"/>
      <c r="Q407" s="18"/>
      <c r="R407" s="18"/>
      <c r="S407" s="18"/>
      <c r="T407" s="18"/>
      <c r="U407" s="18"/>
      <c r="V407" s="18"/>
      <c r="W407" s="18"/>
      <c r="X407" s="18"/>
      <c r="Y407" s="18"/>
      <c r="Z407" s="18"/>
      <c r="AA407" s="18"/>
      <c r="AB407" s="18"/>
      <c r="AC407" s="18"/>
      <c r="AD407" s="18"/>
      <c r="AE407" s="15"/>
      <c r="AF407" s="15"/>
    </row>
    <row r="408" spans="1:32" x14ac:dyDescent="0.25">
      <c r="A408" t="str">
        <f t="shared" ca="1" si="19"/>
        <v>20140825-000408--190001000000@LIBRARY.NASHVILLE.ORG</v>
      </c>
      <c r="B408" s="15" t="str">
        <f t="shared" si="21"/>
        <v/>
      </c>
      <c r="D408" s="16" t="str">
        <f t="shared" si="20"/>
        <v/>
      </c>
      <c r="E408" s="21"/>
      <c r="F408" s="7"/>
      <c r="G408" s="19"/>
      <c r="H408" s="17"/>
      <c r="I408" s="1"/>
      <c r="N408" s="1"/>
      <c r="O408" s="1"/>
      <c r="P408" s="18"/>
      <c r="Q408" s="18"/>
      <c r="R408" s="18"/>
      <c r="S408" s="18"/>
      <c r="T408" s="18"/>
      <c r="U408" s="18"/>
      <c r="V408" s="18"/>
      <c r="W408" s="18"/>
      <c r="X408" s="18"/>
      <c r="Y408" s="18"/>
      <c r="Z408" s="18"/>
      <c r="AA408" s="18"/>
      <c r="AB408" s="18"/>
      <c r="AC408" s="18"/>
      <c r="AD408" s="18"/>
      <c r="AE408" s="15"/>
      <c r="AF408" s="15"/>
    </row>
    <row r="409" spans="1:32" x14ac:dyDescent="0.25">
      <c r="A409" t="str">
        <f t="shared" ca="1" si="19"/>
        <v>20140825-000409--190001000000@LIBRARY.NASHVILLE.ORG</v>
      </c>
      <c r="B409" s="15" t="str">
        <f t="shared" si="21"/>
        <v/>
      </c>
      <c r="D409" s="16" t="str">
        <f t="shared" si="20"/>
        <v/>
      </c>
      <c r="E409" s="21"/>
      <c r="F409" s="7"/>
      <c r="G409" s="19"/>
      <c r="H409" s="17"/>
      <c r="I409" s="1"/>
      <c r="N409" s="1"/>
      <c r="O409" s="1"/>
      <c r="P409" s="18"/>
      <c r="Q409" s="18"/>
      <c r="R409" s="18"/>
      <c r="S409" s="18"/>
      <c r="T409" s="18"/>
      <c r="U409" s="18"/>
      <c r="V409" s="18"/>
      <c r="W409" s="18"/>
      <c r="X409" s="18"/>
      <c r="Y409" s="18"/>
      <c r="Z409" s="18"/>
      <c r="AA409" s="18"/>
      <c r="AB409" s="18"/>
      <c r="AC409" s="18"/>
      <c r="AD409" s="18"/>
      <c r="AE409" s="15"/>
      <c r="AF409" s="15"/>
    </row>
    <row r="410" spans="1:32" x14ac:dyDescent="0.25">
      <c r="A410" t="str">
        <f t="shared" ca="1" si="19"/>
        <v>20140825-000410--190001000000@LIBRARY.NASHVILLE.ORG</v>
      </c>
      <c r="B410" s="15" t="str">
        <f t="shared" si="21"/>
        <v/>
      </c>
      <c r="D410" s="16" t="str">
        <f t="shared" si="20"/>
        <v/>
      </c>
      <c r="E410" s="21"/>
      <c r="F410" s="7"/>
      <c r="G410" s="19"/>
      <c r="H410" s="17"/>
      <c r="I410" s="1"/>
      <c r="N410" s="1"/>
      <c r="O410" s="1"/>
      <c r="P410" s="18"/>
      <c r="Q410" s="18"/>
      <c r="R410" s="18"/>
      <c r="S410" s="18"/>
      <c r="T410" s="18"/>
      <c r="U410" s="18"/>
      <c r="V410" s="18"/>
      <c r="W410" s="18"/>
      <c r="X410" s="18"/>
      <c r="Y410" s="18"/>
      <c r="Z410" s="18"/>
      <c r="AA410" s="18"/>
      <c r="AB410" s="18"/>
      <c r="AC410" s="18"/>
      <c r="AD410" s="18"/>
      <c r="AE410" s="15"/>
      <c r="AF410" s="15"/>
    </row>
    <row r="411" spans="1:32" x14ac:dyDescent="0.25">
      <c r="A411" t="str">
        <f t="shared" ca="1" si="19"/>
        <v>20140825-000411--190001000000@LIBRARY.NASHVILLE.ORG</v>
      </c>
      <c r="B411" s="15" t="str">
        <f t="shared" si="21"/>
        <v/>
      </c>
      <c r="D411" s="16" t="str">
        <f t="shared" si="20"/>
        <v/>
      </c>
      <c r="E411" s="21"/>
      <c r="F411" s="7"/>
      <c r="G411" s="19"/>
      <c r="H411" s="17"/>
      <c r="I411" s="1"/>
      <c r="N411" s="1"/>
      <c r="O411" s="1"/>
      <c r="P411" s="18"/>
      <c r="Q411" s="18"/>
      <c r="R411" s="18"/>
      <c r="S411" s="18"/>
      <c r="T411" s="18"/>
      <c r="U411" s="18"/>
      <c r="V411" s="18"/>
      <c r="W411" s="18"/>
      <c r="X411" s="18"/>
      <c r="Y411" s="18"/>
      <c r="Z411" s="18"/>
      <c r="AA411" s="18"/>
      <c r="AB411" s="18"/>
      <c r="AC411" s="18"/>
      <c r="AD411" s="18"/>
      <c r="AE411" s="15"/>
      <c r="AF411" s="15"/>
    </row>
    <row r="412" spans="1:32" x14ac:dyDescent="0.25">
      <c r="A412" t="str">
        <f t="shared" ca="1" si="19"/>
        <v>20140825-000412--190001000000@LIBRARY.NASHVILLE.ORG</v>
      </c>
      <c r="B412" s="15" t="str">
        <f t="shared" si="21"/>
        <v/>
      </c>
      <c r="D412" s="16" t="str">
        <f t="shared" si="20"/>
        <v/>
      </c>
      <c r="E412" s="21"/>
      <c r="F412" s="7"/>
      <c r="G412" s="19"/>
      <c r="H412" s="17"/>
      <c r="I412" s="1"/>
      <c r="N412" s="1"/>
      <c r="O412" s="1"/>
      <c r="P412" s="18"/>
      <c r="Q412" s="18"/>
      <c r="R412" s="18"/>
      <c r="S412" s="18"/>
      <c r="T412" s="18"/>
      <c r="U412" s="18"/>
      <c r="V412" s="18"/>
      <c r="W412" s="18"/>
      <c r="X412" s="18"/>
      <c r="Y412" s="18"/>
      <c r="Z412" s="18"/>
      <c r="AA412" s="18"/>
      <c r="AB412" s="18"/>
      <c r="AC412" s="18"/>
      <c r="AD412" s="18"/>
      <c r="AE412" s="15"/>
      <c r="AF412" s="15"/>
    </row>
    <row r="413" spans="1:32" x14ac:dyDescent="0.25">
      <c r="A413" t="str">
        <f t="shared" ca="1" si="19"/>
        <v>20140825-000413--190001000000@LIBRARY.NASHVILLE.ORG</v>
      </c>
      <c r="B413" s="15" t="str">
        <f t="shared" si="21"/>
        <v/>
      </c>
      <c r="D413" s="16" t="str">
        <f t="shared" si="20"/>
        <v/>
      </c>
      <c r="E413" s="21"/>
      <c r="F413" s="7"/>
      <c r="G413" s="19"/>
      <c r="H413" s="17"/>
      <c r="I413" s="1"/>
      <c r="N413" s="1"/>
      <c r="O413" s="1"/>
      <c r="P413" s="18"/>
      <c r="Q413" s="18"/>
      <c r="R413" s="18"/>
      <c r="S413" s="18"/>
      <c r="T413" s="18"/>
      <c r="U413" s="18"/>
      <c r="V413" s="18"/>
      <c r="W413" s="18"/>
      <c r="X413" s="18"/>
      <c r="Y413" s="18"/>
      <c r="Z413" s="18"/>
      <c r="AA413" s="18"/>
      <c r="AB413" s="18"/>
      <c r="AC413" s="18"/>
      <c r="AD413" s="18"/>
      <c r="AE413" s="15"/>
      <c r="AF413" s="15"/>
    </row>
    <row r="414" spans="1:32" x14ac:dyDescent="0.25">
      <c r="A414" t="str">
        <f t="shared" ca="1" si="19"/>
        <v>20140825-000414--190001000000@LIBRARY.NASHVILLE.ORG</v>
      </c>
      <c r="B414" s="15" t="str">
        <f t="shared" si="21"/>
        <v/>
      </c>
      <c r="D414" s="16" t="str">
        <f t="shared" si="20"/>
        <v/>
      </c>
      <c r="E414" s="21"/>
      <c r="F414" s="7"/>
      <c r="G414" s="19"/>
      <c r="H414" s="17"/>
      <c r="I414" s="1"/>
      <c r="N414" s="1"/>
      <c r="O414" s="1"/>
      <c r="P414" s="18"/>
      <c r="Q414" s="18"/>
      <c r="R414" s="18"/>
      <c r="S414" s="18"/>
      <c r="T414" s="18"/>
      <c r="U414" s="18"/>
      <c r="V414" s="18"/>
      <c r="W414" s="18"/>
      <c r="X414" s="18"/>
      <c r="Y414" s="18"/>
      <c r="Z414" s="18"/>
      <c r="AA414" s="18"/>
      <c r="AB414" s="18"/>
      <c r="AC414" s="18"/>
      <c r="AD414" s="18"/>
      <c r="AE414" s="15"/>
      <c r="AF414" s="15"/>
    </row>
    <row r="415" spans="1:32" x14ac:dyDescent="0.25">
      <c r="A415" t="str">
        <f t="shared" ca="1" si="19"/>
        <v>20140825-000415--190001000000@LIBRARY.NASHVILLE.ORG</v>
      </c>
      <c r="B415" s="15" t="str">
        <f t="shared" si="21"/>
        <v/>
      </c>
      <c r="D415" s="16" t="str">
        <f t="shared" si="20"/>
        <v/>
      </c>
      <c r="E415" s="21"/>
      <c r="F415" s="7"/>
      <c r="G415" s="19"/>
      <c r="H415" s="17"/>
      <c r="I415" s="1"/>
      <c r="N415" s="1"/>
      <c r="O415" s="1"/>
      <c r="P415" s="18"/>
      <c r="Q415" s="18"/>
      <c r="R415" s="18"/>
      <c r="S415" s="18"/>
      <c r="T415" s="18"/>
      <c r="U415" s="18"/>
      <c r="V415" s="18"/>
      <c r="W415" s="18"/>
      <c r="X415" s="18"/>
      <c r="Y415" s="18"/>
      <c r="Z415" s="18"/>
      <c r="AA415" s="18"/>
      <c r="AB415" s="18"/>
      <c r="AC415" s="18"/>
      <c r="AD415" s="18"/>
      <c r="AE415" s="15"/>
      <c r="AF415" s="15"/>
    </row>
    <row r="416" spans="1:32" x14ac:dyDescent="0.25">
      <c r="A416" t="str">
        <f t="shared" ca="1" si="19"/>
        <v>20140825-000416--190001000000@LIBRARY.NASHVILLE.ORG</v>
      </c>
      <c r="B416" s="15" t="str">
        <f t="shared" si="21"/>
        <v/>
      </c>
      <c r="D416" s="16" t="str">
        <f t="shared" si="20"/>
        <v/>
      </c>
      <c r="E416" s="21"/>
      <c r="F416" s="7"/>
      <c r="G416" s="19"/>
      <c r="H416" s="17"/>
      <c r="I416" s="1"/>
      <c r="N416" s="1"/>
      <c r="O416" s="1"/>
      <c r="P416" s="18"/>
      <c r="Q416" s="18"/>
      <c r="R416" s="18"/>
      <c r="S416" s="18"/>
      <c r="T416" s="18"/>
      <c r="U416" s="18"/>
      <c r="V416" s="18"/>
      <c r="W416" s="18"/>
      <c r="X416" s="18"/>
      <c r="Y416" s="18"/>
      <c r="Z416" s="18"/>
      <c r="AA416" s="18"/>
      <c r="AB416" s="18"/>
      <c r="AC416" s="18"/>
      <c r="AD416" s="18"/>
      <c r="AE416" s="15"/>
      <c r="AF416" s="15"/>
    </row>
    <row r="417" spans="1:32" x14ac:dyDescent="0.25">
      <c r="A417" t="str">
        <f t="shared" ca="1" si="19"/>
        <v>20140825-000417--190001000000@LIBRARY.NASHVILLE.ORG</v>
      </c>
      <c r="B417" s="15" t="str">
        <f t="shared" si="21"/>
        <v/>
      </c>
      <c r="D417" s="16" t="str">
        <f t="shared" si="20"/>
        <v/>
      </c>
      <c r="E417" s="21"/>
      <c r="F417" s="7"/>
      <c r="G417" s="19"/>
      <c r="H417" s="17"/>
      <c r="I417" s="1"/>
      <c r="N417" s="1"/>
      <c r="O417" s="1"/>
      <c r="P417" s="18"/>
      <c r="Q417" s="18"/>
      <c r="R417" s="18"/>
      <c r="S417" s="18"/>
      <c r="T417" s="18"/>
      <c r="U417" s="18"/>
      <c r="V417" s="18"/>
      <c r="W417" s="18"/>
      <c r="X417" s="18"/>
      <c r="Y417" s="18"/>
      <c r="Z417" s="18"/>
      <c r="AA417" s="18"/>
      <c r="AB417" s="18"/>
      <c r="AC417" s="18"/>
      <c r="AD417" s="18"/>
      <c r="AE417" s="15"/>
      <c r="AF417" s="15"/>
    </row>
    <row r="418" spans="1:32" x14ac:dyDescent="0.25">
      <c r="A418" t="str">
        <f t="shared" ca="1" si="19"/>
        <v>20140825-000418--190001000000@LIBRARY.NASHVILLE.ORG</v>
      </c>
      <c r="B418" s="15" t="str">
        <f t="shared" si="21"/>
        <v/>
      </c>
      <c r="D418" s="16" t="str">
        <f t="shared" si="20"/>
        <v/>
      </c>
      <c r="E418" s="21"/>
      <c r="F418" s="7"/>
      <c r="G418" s="19"/>
      <c r="H418" s="17"/>
      <c r="I418" s="1"/>
      <c r="N418" s="1"/>
      <c r="O418" s="1"/>
      <c r="P418" s="18"/>
      <c r="Q418" s="18"/>
      <c r="R418" s="18"/>
      <c r="S418" s="18"/>
      <c r="T418" s="18"/>
      <c r="U418" s="18"/>
      <c r="V418" s="18"/>
      <c r="W418" s="18"/>
      <c r="X418" s="18"/>
      <c r="Y418" s="18"/>
      <c r="Z418" s="18"/>
      <c r="AA418" s="18"/>
      <c r="AB418" s="18"/>
      <c r="AC418" s="18"/>
      <c r="AD418" s="18"/>
      <c r="AE418" s="15"/>
      <c r="AF418" s="15"/>
    </row>
    <row r="419" spans="1:32" x14ac:dyDescent="0.25">
      <c r="A419" t="str">
        <f t="shared" ca="1" si="19"/>
        <v>20140825-000419--190001000000@LIBRARY.NASHVILLE.ORG</v>
      </c>
      <c r="B419" s="15" t="str">
        <f t="shared" si="21"/>
        <v/>
      </c>
      <c r="D419" s="16" t="str">
        <f t="shared" si="20"/>
        <v/>
      </c>
      <c r="E419" s="21"/>
      <c r="F419" s="7"/>
      <c r="G419" s="19"/>
      <c r="H419" s="17"/>
      <c r="I419" s="1"/>
      <c r="N419" s="1"/>
      <c r="O419" s="1"/>
      <c r="P419" s="18"/>
      <c r="Q419" s="18"/>
      <c r="R419" s="18"/>
      <c r="S419" s="18"/>
      <c r="T419" s="18"/>
      <c r="U419" s="18"/>
      <c r="V419" s="18"/>
      <c r="W419" s="18"/>
      <c r="X419" s="18"/>
      <c r="Y419" s="18"/>
      <c r="Z419" s="18"/>
      <c r="AA419" s="18"/>
      <c r="AB419" s="18"/>
      <c r="AC419" s="18"/>
      <c r="AD419" s="18"/>
      <c r="AE419" s="15"/>
      <c r="AF419" s="15"/>
    </row>
    <row r="420" spans="1:32" x14ac:dyDescent="0.25">
      <c r="A420" t="str">
        <f t="shared" ca="1" si="19"/>
        <v>20140825-000420--190001000000@LIBRARY.NASHVILLE.ORG</v>
      </c>
      <c r="B420" s="15" t="str">
        <f t="shared" si="21"/>
        <v/>
      </c>
      <c r="D420" s="16" t="str">
        <f t="shared" si="20"/>
        <v/>
      </c>
      <c r="E420" s="21"/>
      <c r="F420" s="7"/>
      <c r="G420" s="19"/>
      <c r="H420" s="17"/>
      <c r="I420" s="1"/>
      <c r="N420" s="1"/>
      <c r="O420" s="1"/>
      <c r="P420" s="18"/>
      <c r="Q420" s="18"/>
      <c r="R420" s="18"/>
      <c r="S420" s="18"/>
      <c r="T420" s="18"/>
      <c r="U420" s="18"/>
      <c r="V420" s="18"/>
      <c r="W420" s="18"/>
      <c r="X420" s="18"/>
      <c r="Y420" s="18"/>
      <c r="Z420" s="18"/>
      <c r="AA420" s="18"/>
      <c r="AB420" s="18"/>
      <c r="AC420" s="18"/>
      <c r="AD420" s="18"/>
      <c r="AE420" s="15"/>
      <c r="AF420" s="15"/>
    </row>
    <row r="421" spans="1:32" x14ac:dyDescent="0.25">
      <c r="A421" t="str">
        <f t="shared" ca="1" si="19"/>
        <v>20140825-000421--190001000000@LIBRARY.NASHVILLE.ORG</v>
      </c>
      <c r="B421" s="15" t="str">
        <f t="shared" si="21"/>
        <v/>
      </c>
      <c r="D421" s="16" t="str">
        <f t="shared" si="20"/>
        <v/>
      </c>
      <c r="E421" s="21"/>
      <c r="F421" s="7"/>
      <c r="G421" s="19"/>
      <c r="H421" s="17"/>
      <c r="I421" s="1"/>
      <c r="N421" s="1"/>
      <c r="O421" s="1"/>
      <c r="P421" s="18"/>
      <c r="Q421" s="18"/>
      <c r="R421" s="18"/>
      <c r="S421" s="18"/>
      <c r="T421" s="18"/>
      <c r="U421" s="18"/>
      <c r="V421" s="18"/>
      <c r="W421" s="18"/>
      <c r="X421" s="18"/>
      <c r="Y421" s="18"/>
      <c r="Z421" s="18"/>
      <c r="AA421" s="18"/>
      <c r="AB421" s="18"/>
      <c r="AC421" s="18"/>
      <c r="AD421" s="18"/>
      <c r="AE421" s="15"/>
      <c r="AF421" s="15"/>
    </row>
    <row r="422" spans="1:32" x14ac:dyDescent="0.25">
      <c r="A422" t="str">
        <f t="shared" ca="1" si="19"/>
        <v>20140825-000422--190001000000@LIBRARY.NASHVILLE.ORG</v>
      </c>
      <c r="B422" s="15" t="str">
        <f t="shared" si="21"/>
        <v/>
      </c>
      <c r="D422" s="16" t="str">
        <f t="shared" si="20"/>
        <v/>
      </c>
      <c r="E422" s="21"/>
      <c r="F422" s="7"/>
      <c r="G422" s="19"/>
      <c r="H422" s="17"/>
      <c r="I422" s="1"/>
      <c r="N422" s="1"/>
      <c r="O422" s="1"/>
      <c r="P422" s="18"/>
      <c r="Q422" s="18"/>
      <c r="R422" s="18"/>
      <c r="S422" s="18"/>
      <c r="T422" s="18"/>
      <c r="U422" s="18"/>
      <c r="V422" s="18"/>
      <c r="W422" s="18"/>
      <c r="X422" s="18"/>
      <c r="Y422" s="18"/>
      <c r="Z422" s="18"/>
      <c r="AA422" s="18"/>
      <c r="AB422" s="18"/>
      <c r="AC422" s="18"/>
      <c r="AD422" s="18"/>
      <c r="AE422" s="15"/>
      <c r="AF422" s="15"/>
    </row>
    <row r="423" spans="1:32" x14ac:dyDescent="0.25">
      <c r="A423" t="str">
        <f t="shared" ca="1" si="19"/>
        <v>20140825-000423--190001000000@LIBRARY.NASHVILLE.ORG</v>
      </c>
      <c r="B423" s="15" t="str">
        <f t="shared" si="21"/>
        <v/>
      </c>
      <c r="D423" s="16" t="str">
        <f t="shared" si="20"/>
        <v/>
      </c>
      <c r="E423" s="21"/>
      <c r="F423" s="7"/>
      <c r="G423" s="19"/>
      <c r="H423" s="17"/>
      <c r="I423" s="1"/>
      <c r="N423" s="1"/>
      <c r="O423" s="1"/>
      <c r="P423" s="18"/>
      <c r="Q423" s="18"/>
      <c r="R423" s="18"/>
      <c r="S423" s="18"/>
      <c r="T423" s="18"/>
      <c r="U423" s="18"/>
      <c r="V423" s="18"/>
      <c r="W423" s="18"/>
      <c r="X423" s="18"/>
      <c r="Y423" s="18"/>
      <c r="Z423" s="18"/>
      <c r="AA423" s="18"/>
      <c r="AB423" s="18"/>
      <c r="AC423" s="18"/>
      <c r="AD423" s="18"/>
      <c r="AE423" s="15"/>
      <c r="AF423" s="15"/>
    </row>
    <row r="424" spans="1:32" x14ac:dyDescent="0.25">
      <c r="A424" t="str">
        <f t="shared" ca="1" si="19"/>
        <v>20140825-000424--190001000000@LIBRARY.NASHVILLE.ORG</v>
      </c>
      <c r="B424" s="15" t="str">
        <f t="shared" si="21"/>
        <v/>
      </c>
      <c r="D424" s="16" t="str">
        <f t="shared" si="20"/>
        <v/>
      </c>
      <c r="E424" s="21"/>
      <c r="F424" s="7"/>
      <c r="G424" s="19"/>
      <c r="H424" s="17"/>
      <c r="I424" s="1"/>
      <c r="N424" s="1"/>
      <c r="O424" s="1"/>
      <c r="P424" s="18"/>
      <c r="Q424" s="18"/>
      <c r="R424" s="18"/>
      <c r="S424" s="18"/>
      <c r="T424" s="18"/>
      <c r="U424" s="18"/>
      <c r="V424" s="18"/>
      <c r="W424" s="18"/>
      <c r="X424" s="18"/>
      <c r="Y424" s="18"/>
      <c r="Z424" s="18"/>
      <c r="AA424" s="18"/>
      <c r="AB424" s="18"/>
      <c r="AC424" s="18"/>
      <c r="AD424" s="18"/>
      <c r="AE424" s="15"/>
      <c r="AF424" s="15"/>
    </row>
    <row r="425" spans="1:32" x14ac:dyDescent="0.25">
      <c r="A425" t="str">
        <f t="shared" ca="1" si="19"/>
        <v>20140825-000425--190001000000@LIBRARY.NASHVILLE.ORG</v>
      </c>
      <c r="B425" s="15" t="str">
        <f t="shared" si="21"/>
        <v/>
      </c>
      <c r="D425" s="16" t="str">
        <f t="shared" si="20"/>
        <v/>
      </c>
      <c r="E425" s="21"/>
      <c r="F425" s="7"/>
      <c r="G425" s="19"/>
      <c r="H425" s="17"/>
      <c r="I425" s="1"/>
      <c r="N425" s="1"/>
      <c r="O425" s="1"/>
      <c r="P425" s="18"/>
      <c r="Q425" s="18"/>
      <c r="R425" s="18"/>
      <c r="S425" s="18"/>
      <c r="T425" s="18"/>
      <c r="U425" s="18"/>
      <c r="V425" s="18"/>
      <c r="W425" s="18"/>
      <c r="X425" s="18"/>
      <c r="Y425" s="18"/>
      <c r="Z425" s="18"/>
      <c r="AA425" s="18"/>
      <c r="AB425" s="18"/>
      <c r="AC425" s="18"/>
      <c r="AD425" s="18"/>
      <c r="AE425" s="15"/>
      <c r="AF425" s="15"/>
    </row>
    <row r="426" spans="1:32" x14ac:dyDescent="0.25">
      <c r="A426" t="str">
        <f t="shared" ca="1" si="19"/>
        <v>20140825-000426--190001000000@LIBRARY.NASHVILLE.ORG</v>
      </c>
      <c r="B426" s="15" t="str">
        <f t="shared" si="21"/>
        <v/>
      </c>
      <c r="D426" s="16" t="str">
        <f t="shared" si="20"/>
        <v/>
      </c>
      <c r="E426" s="21"/>
      <c r="F426" s="7"/>
      <c r="G426" s="19"/>
      <c r="H426" s="17"/>
      <c r="I426" s="1"/>
      <c r="N426" s="1"/>
      <c r="O426" s="1"/>
      <c r="P426" s="18"/>
      <c r="Q426" s="18"/>
      <c r="R426" s="18"/>
      <c r="S426" s="18"/>
      <c r="T426" s="18"/>
      <c r="U426" s="18"/>
      <c r="V426" s="18"/>
      <c r="W426" s="18"/>
      <c r="X426" s="18"/>
      <c r="Y426" s="18"/>
      <c r="Z426" s="18"/>
      <c r="AA426" s="18"/>
      <c r="AB426" s="18"/>
      <c r="AC426" s="18"/>
      <c r="AD426" s="18"/>
      <c r="AE426" s="15"/>
      <c r="AF426" s="15"/>
    </row>
    <row r="427" spans="1:32" x14ac:dyDescent="0.25">
      <c r="A427" t="str">
        <f t="shared" ca="1" si="19"/>
        <v>20140825-000427--190001000000@LIBRARY.NASHVILLE.ORG</v>
      </c>
      <c r="B427" s="15" t="str">
        <f t="shared" si="21"/>
        <v/>
      </c>
      <c r="D427" s="16" t="str">
        <f t="shared" si="20"/>
        <v/>
      </c>
      <c r="E427" s="21"/>
      <c r="F427" s="7"/>
      <c r="G427" s="19"/>
      <c r="H427" s="17"/>
      <c r="I427" s="1"/>
      <c r="N427" s="1"/>
      <c r="O427" s="1"/>
      <c r="P427" s="18"/>
      <c r="Q427" s="18"/>
      <c r="R427" s="18"/>
      <c r="S427" s="18"/>
      <c r="T427" s="18"/>
      <c r="U427" s="18"/>
      <c r="V427" s="18"/>
      <c r="W427" s="18"/>
      <c r="X427" s="18"/>
      <c r="Y427" s="18"/>
      <c r="Z427" s="18"/>
      <c r="AA427" s="18"/>
      <c r="AB427" s="18"/>
      <c r="AC427" s="18"/>
      <c r="AD427" s="18"/>
      <c r="AE427" s="15"/>
      <c r="AF427" s="15"/>
    </row>
    <row r="428" spans="1:32" x14ac:dyDescent="0.25">
      <c r="A428" t="str">
        <f t="shared" ca="1" si="19"/>
        <v>20140825-000428--190001000000@LIBRARY.NASHVILLE.ORG</v>
      </c>
      <c r="B428" s="15" t="str">
        <f t="shared" si="21"/>
        <v/>
      </c>
      <c r="D428" s="16" t="str">
        <f t="shared" si="20"/>
        <v/>
      </c>
      <c r="E428" s="21"/>
      <c r="F428" s="7"/>
      <c r="G428" s="19"/>
      <c r="H428" s="17"/>
      <c r="I428" s="1"/>
      <c r="N428" s="1"/>
      <c r="O428" s="1"/>
      <c r="P428" s="18"/>
      <c r="Q428" s="18"/>
      <c r="R428" s="18"/>
      <c r="S428" s="18"/>
      <c r="T428" s="18"/>
      <c r="U428" s="18"/>
      <c r="V428" s="18"/>
      <c r="W428" s="18"/>
      <c r="X428" s="18"/>
      <c r="Y428" s="18"/>
      <c r="Z428" s="18"/>
      <c r="AA428" s="18"/>
      <c r="AB428" s="18"/>
      <c r="AC428" s="18"/>
      <c r="AD428" s="18"/>
      <c r="AE428" s="15"/>
      <c r="AF428" s="15"/>
    </row>
    <row r="429" spans="1:32" x14ac:dyDescent="0.25">
      <c r="A429" t="str">
        <f t="shared" ca="1" si="19"/>
        <v>20140825-000429--190001000000@LIBRARY.NASHVILLE.ORG</v>
      </c>
      <c r="B429" s="15" t="str">
        <f t="shared" si="21"/>
        <v/>
      </c>
      <c r="D429" s="16" t="str">
        <f t="shared" si="20"/>
        <v/>
      </c>
      <c r="E429" s="21"/>
      <c r="F429" s="7"/>
      <c r="G429" s="19"/>
      <c r="H429" s="17"/>
      <c r="I429" s="1"/>
      <c r="N429" s="1"/>
      <c r="O429" s="1"/>
      <c r="P429" s="18"/>
      <c r="Q429" s="18"/>
      <c r="R429" s="18"/>
      <c r="S429" s="18"/>
      <c r="T429" s="18"/>
      <c r="U429" s="18"/>
      <c r="V429" s="18"/>
      <c r="W429" s="18"/>
      <c r="X429" s="18"/>
      <c r="Y429" s="18"/>
      <c r="Z429" s="18"/>
      <c r="AA429" s="18"/>
      <c r="AB429" s="18"/>
      <c r="AC429" s="18"/>
      <c r="AD429" s="18"/>
      <c r="AE429" s="15"/>
      <c r="AF429" s="15"/>
    </row>
    <row r="430" spans="1:32" x14ac:dyDescent="0.25">
      <c r="A430" t="str">
        <f t="shared" ca="1" si="19"/>
        <v>20140825-000430--190001000000@LIBRARY.NASHVILLE.ORG</v>
      </c>
      <c r="B430" s="15" t="str">
        <f t="shared" si="21"/>
        <v/>
      </c>
      <c r="D430" s="16" t="str">
        <f t="shared" si="20"/>
        <v/>
      </c>
      <c r="E430" s="21"/>
      <c r="F430" s="7"/>
      <c r="G430" s="19"/>
      <c r="H430" s="17"/>
      <c r="I430" s="1"/>
      <c r="N430" s="1"/>
      <c r="O430" s="1"/>
      <c r="P430" s="18"/>
      <c r="Q430" s="18"/>
      <c r="R430" s="18"/>
      <c r="S430" s="18"/>
      <c r="T430" s="18"/>
      <c r="U430" s="18"/>
      <c r="V430" s="18"/>
      <c r="W430" s="18"/>
      <c r="X430" s="18"/>
      <c r="Y430" s="18"/>
      <c r="Z430" s="18"/>
      <c r="AA430" s="18"/>
      <c r="AB430" s="18"/>
      <c r="AC430" s="18"/>
      <c r="AD430" s="18"/>
      <c r="AE430" s="15"/>
      <c r="AF430" s="15"/>
    </row>
    <row r="431" spans="1:32" x14ac:dyDescent="0.25">
      <c r="A431" t="str">
        <f t="shared" ca="1" si="19"/>
        <v>20140825-000431--190001000000@LIBRARY.NASHVILLE.ORG</v>
      </c>
      <c r="B431" s="15" t="str">
        <f t="shared" si="21"/>
        <v/>
      </c>
      <c r="D431" s="16" t="str">
        <f t="shared" si="20"/>
        <v/>
      </c>
      <c r="E431" s="21"/>
      <c r="F431" s="7"/>
      <c r="G431" s="19"/>
      <c r="H431" s="17"/>
      <c r="I431" s="1"/>
      <c r="N431" s="1"/>
      <c r="O431" s="1"/>
      <c r="P431" s="18"/>
      <c r="Q431" s="18"/>
      <c r="R431" s="18"/>
      <c r="S431" s="18"/>
      <c r="T431" s="18"/>
      <c r="U431" s="18"/>
      <c r="V431" s="18"/>
      <c r="W431" s="18"/>
      <c r="X431" s="18"/>
      <c r="Y431" s="18"/>
      <c r="Z431" s="18"/>
      <c r="AA431" s="18"/>
      <c r="AB431" s="18"/>
      <c r="AC431" s="18"/>
      <c r="AD431" s="18"/>
      <c r="AE431" s="15"/>
      <c r="AF431" s="15"/>
    </row>
    <row r="432" spans="1:32" x14ac:dyDescent="0.25">
      <c r="A432" t="str">
        <f t="shared" ca="1" si="19"/>
        <v>20140825-000432--190001000000@LIBRARY.NASHVILLE.ORG</v>
      </c>
      <c r="B432" s="15" t="str">
        <f t="shared" si="21"/>
        <v/>
      </c>
      <c r="D432" s="16" t="str">
        <f t="shared" si="20"/>
        <v/>
      </c>
      <c r="E432" s="21"/>
      <c r="F432" s="7"/>
      <c r="G432" s="19"/>
      <c r="H432" s="17"/>
      <c r="I432" s="1"/>
      <c r="N432" s="1"/>
      <c r="O432" s="1"/>
      <c r="P432" s="18"/>
      <c r="Q432" s="18"/>
      <c r="R432" s="18"/>
      <c r="S432" s="18"/>
      <c r="T432" s="18"/>
      <c r="U432" s="18"/>
      <c r="V432" s="18"/>
      <c r="W432" s="18"/>
      <c r="X432" s="18"/>
      <c r="Y432" s="18"/>
      <c r="Z432" s="18"/>
      <c r="AA432" s="18"/>
      <c r="AB432" s="18"/>
      <c r="AC432" s="18"/>
      <c r="AD432" s="18"/>
      <c r="AE432" s="15"/>
      <c r="AF432" s="15"/>
    </row>
    <row r="433" spans="1:32" x14ac:dyDescent="0.25">
      <c r="A433" t="str">
        <f t="shared" ca="1" si="19"/>
        <v>20140825-000433--190001000000@LIBRARY.NASHVILLE.ORG</v>
      </c>
      <c r="B433" s="15" t="str">
        <f t="shared" si="21"/>
        <v/>
      </c>
      <c r="D433" s="16" t="str">
        <f t="shared" si="20"/>
        <v/>
      </c>
      <c r="E433" s="21"/>
      <c r="F433" s="7"/>
      <c r="G433" s="19"/>
      <c r="H433" s="17"/>
      <c r="I433" s="1"/>
      <c r="N433" s="1"/>
      <c r="O433" s="1"/>
      <c r="P433" s="18"/>
      <c r="Q433" s="18"/>
      <c r="R433" s="18"/>
      <c r="S433" s="18"/>
      <c r="T433" s="18"/>
      <c r="U433" s="18"/>
      <c r="V433" s="18"/>
      <c r="W433" s="18"/>
      <c r="X433" s="18"/>
      <c r="Y433" s="18"/>
      <c r="Z433" s="18"/>
      <c r="AA433" s="18"/>
      <c r="AB433" s="18"/>
      <c r="AC433" s="18"/>
      <c r="AD433" s="18"/>
      <c r="AE433" s="15"/>
      <c r="AF433" s="15"/>
    </row>
    <row r="434" spans="1:32" x14ac:dyDescent="0.25">
      <c r="A434" t="str">
        <f t="shared" ca="1" si="19"/>
        <v>20140825-000434--190001000000@LIBRARY.NASHVILLE.ORG</v>
      </c>
      <c r="B434" s="15" t="str">
        <f t="shared" si="21"/>
        <v/>
      </c>
      <c r="D434" s="16" t="str">
        <f t="shared" si="20"/>
        <v/>
      </c>
      <c r="E434" s="21"/>
      <c r="F434" s="7"/>
      <c r="G434" s="19"/>
      <c r="H434" s="17"/>
      <c r="I434" s="1"/>
      <c r="N434" s="1"/>
      <c r="O434" s="1"/>
      <c r="P434" s="18"/>
      <c r="Q434" s="18"/>
      <c r="R434" s="18"/>
      <c r="S434" s="18"/>
      <c r="T434" s="18"/>
      <c r="U434" s="18"/>
      <c r="V434" s="18"/>
      <c r="W434" s="18"/>
      <c r="X434" s="18"/>
      <c r="Y434" s="18"/>
      <c r="Z434" s="18"/>
      <c r="AA434" s="18"/>
      <c r="AB434" s="18"/>
      <c r="AC434" s="18"/>
      <c r="AD434" s="18"/>
      <c r="AE434" s="15"/>
      <c r="AF434" s="15"/>
    </row>
    <row r="435" spans="1:32" x14ac:dyDescent="0.25">
      <c r="A435" t="str">
        <f t="shared" ca="1" si="19"/>
        <v>20140825-000435--190001000000@LIBRARY.NASHVILLE.ORG</v>
      </c>
      <c r="B435" s="15" t="str">
        <f t="shared" si="21"/>
        <v/>
      </c>
      <c r="D435" s="16" t="str">
        <f t="shared" si="20"/>
        <v/>
      </c>
      <c r="E435" s="21"/>
      <c r="F435" s="7"/>
      <c r="G435" s="19"/>
      <c r="H435" s="17"/>
      <c r="I435" s="1"/>
      <c r="N435" s="1"/>
      <c r="O435" s="1"/>
      <c r="P435" s="18"/>
      <c r="Q435" s="18"/>
      <c r="R435" s="18"/>
      <c r="S435" s="18"/>
      <c r="T435" s="18"/>
      <c r="U435" s="18"/>
      <c r="V435" s="18"/>
      <c r="W435" s="18"/>
      <c r="X435" s="18"/>
      <c r="Y435" s="18"/>
      <c r="Z435" s="18"/>
      <c r="AA435" s="18"/>
      <c r="AB435" s="18"/>
      <c r="AC435" s="18"/>
      <c r="AD435" s="18"/>
      <c r="AE435" s="15"/>
      <c r="AF435" s="15"/>
    </row>
    <row r="436" spans="1:32" x14ac:dyDescent="0.25">
      <c r="A436" t="str">
        <f t="shared" ca="1" si="19"/>
        <v>20140825-000436--190001000000@LIBRARY.NASHVILLE.ORG</v>
      </c>
      <c r="B436" s="15" t="str">
        <f t="shared" si="21"/>
        <v/>
      </c>
      <c r="D436" s="16" t="str">
        <f t="shared" si="20"/>
        <v/>
      </c>
      <c r="E436" s="21"/>
      <c r="F436" s="7"/>
      <c r="G436" s="19"/>
      <c r="H436" s="17"/>
      <c r="I436" s="1"/>
      <c r="N436" s="1"/>
      <c r="O436" s="1"/>
      <c r="P436" s="18"/>
      <c r="Q436" s="18"/>
      <c r="R436" s="18"/>
      <c r="S436" s="18"/>
      <c r="T436" s="18"/>
      <c r="U436" s="18"/>
      <c r="V436" s="18"/>
      <c r="W436" s="18"/>
      <c r="X436" s="18"/>
      <c r="Y436" s="18"/>
      <c r="Z436" s="18"/>
      <c r="AA436" s="18"/>
      <c r="AB436" s="18"/>
      <c r="AC436" s="18"/>
      <c r="AD436" s="18"/>
      <c r="AE436" s="15"/>
      <c r="AF436" s="15"/>
    </row>
    <row r="437" spans="1:32" x14ac:dyDescent="0.25">
      <c r="A437" t="str">
        <f t="shared" ca="1" si="19"/>
        <v>20140825-000437--190001000000@LIBRARY.NASHVILLE.ORG</v>
      </c>
      <c r="B437" s="15" t="str">
        <f t="shared" si="21"/>
        <v/>
      </c>
      <c r="D437" s="16" t="str">
        <f t="shared" si="20"/>
        <v/>
      </c>
      <c r="E437" s="21"/>
      <c r="F437" s="7"/>
      <c r="G437" s="19"/>
      <c r="H437" s="17"/>
      <c r="I437" s="1"/>
      <c r="N437" s="1"/>
      <c r="O437" s="1"/>
      <c r="P437" s="18"/>
      <c r="Q437" s="18"/>
      <c r="R437" s="18"/>
      <c r="S437" s="18"/>
      <c r="T437" s="18"/>
      <c r="U437" s="18"/>
      <c r="V437" s="18"/>
      <c r="W437" s="18"/>
      <c r="X437" s="18"/>
      <c r="Y437" s="18"/>
      <c r="Z437" s="18"/>
      <c r="AA437" s="18"/>
      <c r="AB437" s="18"/>
      <c r="AC437" s="18"/>
      <c r="AD437" s="18"/>
      <c r="AE437" s="15"/>
      <c r="AF437" s="15"/>
    </row>
    <row r="438" spans="1:32" x14ac:dyDescent="0.25">
      <c r="A438" t="str">
        <f t="shared" ca="1" si="19"/>
        <v>20140825-000438--190001000000@LIBRARY.NASHVILLE.ORG</v>
      </c>
      <c r="B438" s="15" t="str">
        <f t="shared" si="21"/>
        <v/>
      </c>
      <c r="D438" s="16" t="str">
        <f t="shared" si="20"/>
        <v/>
      </c>
      <c r="E438" s="21"/>
      <c r="F438" s="7"/>
      <c r="G438" s="19"/>
      <c r="H438" s="17"/>
      <c r="I438" s="1"/>
      <c r="N438" s="1"/>
      <c r="O438" s="1"/>
      <c r="P438" s="18"/>
      <c r="Q438" s="18"/>
      <c r="R438" s="18"/>
      <c r="S438" s="18"/>
      <c r="T438" s="18"/>
      <c r="U438" s="18"/>
      <c r="V438" s="18"/>
      <c r="W438" s="18"/>
      <c r="X438" s="18"/>
      <c r="Y438" s="18"/>
      <c r="Z438" s="18"/>
      <c r="AA438" s="18"/>
      <c r="AB438" s="18"/>
      <c r="AC438" s="18"/>
      <c r="AD438" s="18"/>
      <c r="AE438" s="15"/>
      <c r="AF438" s="15"/>
    </row>
    <row r="439" spans="1:32" x14ac:dyDescent="0.25">
      <c r="A439" t="str">
        <f t="shared" ca="1" si="19"/>
        <v>20140825-000439--190001000000@LIBRARY.NASHVILLE.ORG</v>
      </c>
      <c r="B439" s="15" t="str">
        <f t="shared" si="21"/>
        <v/>
      </c>
      <c r="D439" s="16" t="str">
        <f t="shared" si="20"/>
        <v/>
      </c>
      <c r="E439" s="21"/>
      <c r="F439" s="7"/>
      <c r="G439" s="19"/>
      <c r="H439" s="17"/>
      <c r="I439" s="1"/>
      <c r="N439" s="1"/>
      <c r="O439" s="1"/>
      <c r="P439" s="18"/>
      <c r="Q439" s="18"/>
      <c r="R439" s="18"/>
      <c r="S439" s="18"/>
      <c r="T439" s="18"/>
      <c r="U439" s="18"/>
      <c r="V439" s="18"/>
      <c r="W439" s="18"/>
      <c r="X439" s="18"/>
      <c r="Y439" s="18"/>
      <c r="Z439" s="18"/>
      <c r="AA439" s="18"/>
      <c r="AB439" s="18"/>
      <c r="AC439" s="18"/>
      <c r="AD439" s="18"/>
      <c r="AE439" s="15"/>
      <c r="AF439" s="15"/>
    </row>
    <row r="440" spans="1:32" x14ac:dyDescent="0.25">
      <c r="A440" t="str">
        <f t="shared" ca="1" si="19"/>
        <v>20140825-000440--190001000000@LIBRARY.NASHVILLE.ORG</v>
      </c>
      <c r="B440" s="15" t="str">
        <f t="shared" si="21"/>
        <v/>
      </c>
      <c r="D440" s="16" t="str">
        <f t="shared" si="20"/>
        <v/>
      </c>
      <c r="E440" s="21"/>
      <c r="F440" s="7"/>
      <c r="G440" s="19"/>
      <c r="H440" s="17"/>
      <c r="I440" s="1"/>
      <c r="N440" s="1"/>
      <c r="O440" s="1"/>
      <c r="P440" s="18"/>
      <c r="Q440" s="18"/>
      <c r="R440" s="18"/>
      <c r="S440" s="18"/>
      <c r="T440" s="18"/>
      <c r="U440" s="18"/>
      <c r="V440" s="18"/>
      <c r="W440" s="18"/>
      <c r="X440" s="18"/>
      <c r="Y440" s="18"/>
      <c r="Z440" s="18"/>
      <c r="AA440" s="18"/>
      <c r="AB440" s="18"/>
      <c r="AC440" s="18"/>
      <c r="AD440" s="18"/>
      <c r="AE440" s="15"/>
      <c r="AF440" s="15"/>
    </row>
    <row r="441" spans="1:32" x14ac:dyDescent="0.25">
      <c r="A441" t="str">
        <f t="shared" ca="1" si="19"/>
        <v>20140825-000441--190001000000@LIBRARY.NASHVILLE.ORG</v>
      </c>
      <c r="B441" s="15" t="str">
        <f t="shared" si="21"/>
        <v/>
      </c>
      <c r="D441" s="16" t="str">
        <f t="shared" si="20"/>
        <v/>
      </c>
      <c r="E441" s="21"/>
      <c r="F441" s="7"/>
      <c r="G441" s="19"/>
      <c r="H441" s="17"/>
      <c r="I441" s="1"/>
      <c r="N441" s="1"/>
      <c r="O441" s="1"/>
      <c r="P441" s="18"/>
      <c r="Q441" s="18"/>
      <c r="R441" s="18"/>
      <c r="S441" s="18"/>
      <c r="T441" s="18"/>
      <c r="U441" s="18"/>
      <c r="V441" s="18"/>
      <c r="W441" s="18"/>
      <c r="X441" s="18"/>
      <c r="Y441" s="18"/>
      <c r="Z441" s="18"/>
      <c r="AA441" s="18"/>
      <c r="AB441" s="18"/>
      <c r="AC441" s="18"/>
      <c r="AD441" s="18"/>
      <c r="AE441" s="15"/>
      <c r="AF441" s="15"/>
    </row>
    <row r="442" spans="1:32" x14ac:dyDescent="0.25">
      <c r="A442" t="str">
        <f t="shared" ca="1" si="19"/>
        <v>20140825-000442--190001000000@LIBRARY.NASHVILLE.ORG</v>
      </c>
      <c r="B442" s="15" t="str">
        <f t="shared" si="21"/>
        <v/>
      </c>
      <c r="D442" s="16" t="str">
        <f t="shared" si="20"/>
        <v/>
      </c>
      <c r="E442" s="21"/>
      <c r="F442" s="7"/>
      <c r="G442" s="19"/>
      <c r="H442" s="17"/>
      <c r="I442" s="1"/>
      <c r="N442" s="1"/>
      <c r="O442" s="1"/>
      <c r="P442" s="18"/>
      <c r="Q442" s="18"/>
      <c r="R442" s="18"/>
      <c r="S442" s="18"/>
      <c r="T442" s="18"/>
      <c r="U442" s="18"/>
      <c r="V442" s="18"/>
      <c r="W442" s="18"/>
      <c r="X442" s="18"/>
      <c r="Y442" s="18"/>
      <c r="Z442" s="18"/>
      <c r="AA442" s="18"/>
      <c r="AB442" s="18"/>
      <c r="AC442" s="18"/>
      <c r="AD442" s="18"/>
      <c r="AE442" s="15"/>
      <c r="AF442" s="15"/>
    </row>
    <row r="443" spans="1:32" x14ac:dyDescent="0.25">
      <c r="A443" t="str">
        <f t="shared" ca="1" si="19"/>
        <v>20140825-000443--190001000000@LIBRARY.NASHVILLE.ORG</v>
      </c>
      <c r="B443" s="15" t="str">
        <f t="shared" si="21"/>
        <v/>
      </c>
      <c r="D443" s="16" t="str">
        <f t="shared" si="20"/>
        <v/>
      </c>
      <c r="E443" s="21"/>
      <c r="F443" s="7"/>
      <c r="G443" s="19"/>
      <c r="H443" s="17"/>
      <c r="I443" s="1"/>
      <c r="N443" s="1"/>
      <c r="O443" s="1"/>
      <c r="P443" s="18"/>
      <c r="Q443" s="18"/>
      <c r="R443" s="18"/>
      <c r="S443" s="18"/>
      <c r="T443" s="18"/>
      <c r="U443" s="18"/>
      <c r="V443" s="18"/>
      <c r="W443" s="18"/>
      <c r="X443" s="18"/>
      <c r="Y443" s="18"/>
      <c r="Z443" s="18"/>
      <c r="AA443" s="18"/>
      <c r="AB443" s="18"/>
      <c r="AC443" s="18"/>
      <c r="AD443" s="18"/>
      <c r="AE443" s="15"/>
      <c r="AF443" s="15"/>
    </row>
    <row r="444" spans="1:32" x14ac:dyDescent="0.25">
      <c r="A444" t="str">
        <f t="shared" ca="1" si="19"/>
        <v>20140825-000444--190001000000@LIBRARY.NASHVILLE.ORG</v>
      </c>
      <c r="B444" s="15" t="str">
        <f t="shared" si="21"/>
        <v/>
      </c>
      <c r="D444" s="16" t="str">
        <f t="shared" si="20"/>
        <v/>
      </c>
      <c r="E444" s="21"/>
      <c r="F444" s="7"/>
      <c r="G444" s="19"/>
      <c r="H444" s="17"/>
      <c r="I444" s="1"/>
      <c r="N444" s="1"/>
      <c r="O444" s="1"/>
      <c r="P444" s="18"/>
      <c r="Q444" s="18"/>
      <c r="R444" s="18"/>
      <c r="S444" s="18"/>
      <c r="T444" s="18"/>
      <c r="U444" s="18"/>
      <c r="V444" s="18"/>
      <c r="W444" s="18"/>
      <c r="X444" s="18"/>
      <c r="Y444" s="18"/>
      <c r="Z444" s="18"/>
      <c r="AA444" s="18"/>
      <c r="AB444" s="18"/>
      <c r="AC444" s="18"/>
      <c r="AD444" s="18"/>
      <c r="AE444" s="15"/>
      <c r="AF444" s="15"/>
    </row>
    <row r="445" spans="1:32" x14ac:dyDescent="0.25">
      <c r="A445" t="str">
        <f t="shared" ca="1" si="19"/>
        <v>20140825-000445--190001000000@LIBRARY.NASHVILLE.ORG</v>
      </c>
      <c r="B445" s="15" t="str">
        <f t="shared" si="21"/>
        <v/>
      </c>
      <c r="D445" s="16" t="str">
        <f t="shared" si="20"/>
        <v/>
      </c>
      <c r="E445" s="21"/>
      <c r="F445" s="7"/>
      <c r="G445" s="19"/>
      <c r="H445" s="17"/>
      <c r="I445" s="1"/>
      <c r="N445" s="1"/>
      <c r="O445" s="1"/>
      <c r="P445" s="18"/>
      <c r="Q445" s="18"/>
      <c r="R445" s="18"/>
      <c r="S445" s="18"/>
      <c r="T445" s="18"/>
      <c r="U445" s="18"/>
      <c r="V445" s="18"/>
      <c r="W445" s="18"/>
      <c r="X445" s="18"/>
      <c r="Y445" s="18"/>
      <c r="Z445" s="18"/>
      <c r="AA445" s="18"/>
      <c r="AB445" s="18"/>
      <c r="AC445" s="18"/>
      <c r="AD445" s="18"/>
      <c r="AE445" s="15"/>
      <c r="AF445" s="15"/>
    </row>
    <row r="446" spans="1:32" x14ac:dyDescent="0.25">
      <c r="A446" t="str">
        <f t="shared" ca="1" si="19"/>
        <v>20140825-000446--190001000000@LIBRARY.NASHVILLE.ORG</v>
      </c>
      <c r="B446" s="15" t="str">
        <f t="shared" si="21"/>
        <v/>
      </c>
      <c r="D446" s="16" t="str">
        <f t="shared" si="20"/>
        <v/>
      </c>
      <c r="E446" s="21"/>
      <c r="F446" s="7"/>
      <c r="G446" s="19"/>
      <c r="H446" s="17"/>
      <c r="I446" s="1"/>
      <c r="N446" s="1"/>
      <c r="O446" s="1"/>
      <c r="P446" s="18"/>
      <c r="Q446" s="18"/>
      <c r="R446" s="18"/>
      <c r="S446" s="18"/>
      <c r="T446" s="18"/>
      <c r="U446" s="18"/>
      <c r="V446" s="18"/>
      <c r="W446" s="18"/>
      <c r="X446" s="18"/>
      <c r="Y446" s="18"/>
      <c r="Z446" s="18"/>
      <c r="AA446" s="18"/>
      <c r="AB446" s="18"/>
      <c r="AC446" s="18"/>
      <c r="AD446" s="18"/>
      <c r="AE446" s="15"/>
      <c r="AF446" s="15"/>
    </row>
    <row r="447" spans="1:32" x14ac:dyDescent="0.25">
      <c r="A447" t="str">
        <f t="shared" ca="1" si="19"/>
        <v>20140825-000447--190001000000@LIBRARY.NASHVILLE.ORG</v>
      </c>
      <c r="B447" s="15" t="str">
        <f t="shared" si="21"/>
        <v/>
      </c>
      <c r="D447" s="16" t="str">
        <f t="shared" si="20"/>
        <v/>
      </c>
      <c r="E447" s="21"/>
      <c r="F447" s="7"/>
      <c r="G447" s="19"/>
      <c r="H447" s="17"/>
      <c r="I447" s="1"/>
      <c r="N447" s="1"/>
      <c r="O447" s="1"/>
      <c r="P447" s="18"/>
      <c r="Q447" s="18"/>
      <c r="R447" s="18"/>
      <c r="S447" s="18"/>
      <c r="T447" s="18"/>
      <c r="U447" s="18"/>
      <c r="V447" s="18"/>
      <c r="W447" s="18"/>
      <c r="X447" s="18"/>
      <c r="Y447" s="18"/>
      <c r="Z447" s="18"/>
      <c r="AA447" s="18"/>
      <c r="AB447" s="18"/>
      <c r="AC447" s="18"/>
      <c r="AD447" s="18"/>
      <c r="AE447" s="15"/>
      <c r="AF447" s="15"/>
    </row>
    <row r="448" spans="1:32" x14ac:dyDescent="0.25">
      <c r="A448" t="str">
        <f t="shared" ca="1" si="19"/>
        <v>20140825-000448--190001000000@LIBRARY.NASHVILLE.ORG</v>
      </c>
      <c r="B448" s="15" t="str">
        <f t="shared" si="21"/>
        <v/>
      </c>
      <c r="D448" s="16" t="str">
        <f t="shared" si="20"/>
        <v/>
      </c>
      <c r="E448" s="21"/>
      <c r="F448" s="7"/>
      <c r="G448" s="19"/>
      <c r="H448" s="17"/>
      <c r="I448" s="1"/>
      <c r="N448" s="1"/>
      <c r="O448" s="1"/>
      <c r="P448" s="18"/>
      <c r="Q448" s="18"/>
      <c r="R448" s="18"/>
      <c r="S448" s="18"/>
      <c r="T448" s="18"/>
      <c r="U448" s="18"/>
      <c r="V448" s="18"/>
      <c r="W448" s="18"/>
      <c r="X448" s="18"/>
      <c r="Y448" s="18"/>
      <c r="Z448" s="18"/>
      <c r="AA448" s="18"/>
      <c r="AB448" s="18"/>
      <c r="AC448" s="18"/>
      <c r="AD448" s="18"/>
      <c r="AE448" s="15"/>
      <c r="AF448" s="15"/>
    </row>
    <row r="449" spans="1:32" x14ac:dyDescent="0.25">
      <c r="A449" t="str">
        <f t="shared" ca="1" si="19"/>
        <v>20140825-000449--190001000000@LIBRARY.NASHVILLE.ORG</v>
      </c>
      <c r="B449" s="15" t="str">
        <f t="shared" si="21"/>
        <v/>
      </c>
      <c r="D449" s="16" t="str">
        <f t="shared" si="20"/>
        <v/>
      </c>
      <c r="E449" s="21"/>
      <c r="F449" s="7"/>
      <c r="G449" s="19"/>
      <c r="H449" s="17"/>
      <c r="I449" s="1"/>
      <c r="N449" s="1"/>
      <c r="O449" s="1"/>
      <c r="P449" s="18"/>
      <c r="Q449" s="18"/>
      <c r="R449" s="18"/>
      <c r="S449" s="18"/>
      <c r="T449" s="18"/>
      <c r="U449" s="18"/>
      <c r="V449" s="18"/>
      <c r="W449" s="18"/>
      <c r="X449" s="18"/>
      <c r="Y449" s="18"/>
      <c r="Z449" s="18"/>
      <c r="AA449" s="18"/>
      <c r="AB449" s="18"/>
      <c r="AC449" s="18"/>
      <c r="AD449" s="18"/>
      <c r="AE449" s="15"/>
      <c r="AF449" s="15"/>
    </row>
    <row r="450" spans="1:32" x14ac:dyDescent="0.25">
      <c r="A450" t="str">
        <f t="shared" ref="A450:A500" ca="1" si="22">UPPER(CONCATENATE(TEXT(TODAY(),"yyyymmdd"),"-",TEXT(ROW(),"000000"),"-",SUBSTITUTE(B450," ",""),"-",TEXT(C450,"yyyymmdd"),TEXT(E450,"hhmm"),"@library.nashville.org"))</f>
        <v>20140825-000450--190001000000@LIBRARY.NASHVILLE.ORG</v>
      </c>
      <c r="B450" s="15" t="str">
        <f t="shared" si="21"/>
        <v/>
      </c>
      <c r="D450" s="16" t="str">
        <f t="shared" si="20"/>
        <v/>
      </c>
      <c r="E450" s="21"/>
      <c r="F450" s="7"/>
      <c r="G450" s="19"/>
      <c r="H450" s="17"/>
      <c r="I450" s="1"/>
      <c r="N450" s="1"/>
      <c r="O450" s="1"/>
      <c r="P450" s="18"/>
      <c r="Q450" s="18"/>
      <c r="R450" s="18"/>
      <c r="S450" s="18"/>
      <c r="T450" s="18"/>
      <c r="U450" s="18"/>
      <c r="V450" s="18"/>
      <c r="W450" s="18"/>
      <c r="X450" s="18"/>
      <c r="Y450" s="18"/>
      <c r="Z450" s="18"/>
      <c r="AA450" s="18"/>
      <c r="AB450" s="18"/>
      <c r="AC450" s="18"/>
      <c r="AD450" s="18"/>
      <c r="AE450" s="15"/>
      <c r="AF450" s="15"/>
    </row>
    <row r="451" spans="1:32" x14ac:dyDescent="0.25">
      <c r="A451" t="str">
        <f t="shared" ca="1" si="22"/>
        <v>20140825-000451--190001000000@LIBRARY.NASHVILLE.ORG</v>
      </c>
      <c r="B451" s="15" t="str">
        <f t="shared" si="21"/>
        <v/>
      </c>
      <c r="D451" s="16" t="str">
        <f t="shared" ref="D451:D514" si="23">IF(C451=0,"",TEXT($C451,"dddd"))</f>
        <v/>
      </c>
      <c r="E451" s="21"/>
      <c r="F451" s="7"/>
      <c r="G451" s="19"/>
      <c r="H451" s="17"/>
      <c r="I451" s="1"/>
      <c r="N451" s="1"/>
      <c r="O451" s="1"/>
      <c r="P451" s="18"/>
      <c r="Q451" s="18"/>
      <c r="R451" s="18"/>
      <c r="S451" s="18"/>
      <c r="T451" s="18"/>
      <c r="U451" s="18"/>
      <c r="V451" s="18"/>
      <c r="W451" s="18"/>
      <c r="X451" s="18"/>
      <c r="Y451" s="18"/>
      <c r="Z451" s="18"/>
      <c r="AA451" s="18"/>
      <c r="AB451" s="18"/>
      <c r="AC451" s="18"/>
      <c r="AD451" s="18"/>
      <c r="AE451" s="15"/>
      <c r="AF451" s="15"/>
    </row>
    <row r="452" spans="1:32" x14ac:dyDescent="0.25">
      <c r="A452" t="str">
        <f t="shared" ca="1" si="22"/>
        <v>20140825-000452--190001000000@LIBRARY.NASHVILLE.ORG</v>
      </c>
      <c r="B452" s="15" t="str">
        <f t="shared" si="21"/>
        <v/>
      </c>
      <c r="D452" s="16" t="str">
        <f t="shared" si="23"/>
        <v/>
      </c>
      <c r="E452" s="21"/>
      <c r="F452" s="7"/>
      <c r="G452" s="19"/>
      <c r="H452" s="17"/>
      <c r="I452" s="1"/>
      <c r="N452" s="1"/>
      <c r="O452" s="1"/>
      <c r="P452" s="18"/>
      <c r="Q452" s="18"/>
      <c r="R452" s="18"/>
      <c r="S452" s="18"/>
      <c r="T452" s="18"/>
      <c r="U452" s="18"/>
      <c r="V452" s="18"/>
      <c r="W452" s="18"/>
      <c r="X452" s="18"/>
      <c r="Y452" s="18"/>
      <c r="Z452" s="18"/>
      <c r="AA452" s="18"/>
      <c r="AB452" s="18"/>
      <c r="AC452" s="18"/>
      <c r="AD452" s="18"/>
      <c r="AE452" s="15"/>
      <c r="AF452" s="15"/>
    </row>
    <row r="453" spans="1:32" x14ac:dyDescent="0.25">
      <c r="A453" t="str">
        <f t="shared" ca="1" si="22"/>
        <v>20140825-000453--190001000000@LIBRARY.NASHVILLE.ORG</v>
      </c>
      <c r="B453" s="15" t="str">
        <f t="shared" si="21"/>
        <v/>
      </c>
      <c r="D453" s="16" t="str">
        <f t="shared" si="23"/>
        <v/>
      </c>
      <c r="E453" s="21"/>
      <c r="F453" s="7"/>
      <c r="G453" s="19"/>
      <c r="H453" s="17"/>
      <c r="I453" s="1"/>
      <c r="N453" s="1"/>
      <c r="O453" s="1"/>
      <c r="P453" s="18"/>
      <c r="Q453" s="18"/>
      <c r="R453" s="18"/>
      <c r="S453" s="18"/>
      <c r="T453" s="18"/>
      <c r="U453" s="18"/>
      <c r="V453" s="18"/>
      <c r="W453" s="18"/>
      <c r="X453" s="18"/>
      <c r="Y453" s="18"/>
      <c r="Z453" s="18"/>
      <c r="AA453" s="18"/>
      <c r="AB453" s="18"/>
      <c r="AC453" s="18"/>
      <c r="AD453" s="18"/>
      <c r="AE453" s="15"/>
      <c r="AF453" s="15"/>
    </row>
    <row r="454" spans="1:32" x14ac:dyDescent="0.25">
      <c r="A454" t="str">
        <f t="shared" ca="1" si="22"/>
        <v>20140825-000454--190001000000@LIBRARY.NASHVILLE.ORG</v>
      </c>
      <c r="B454" s="15" t="str">
        <f t="shared" si="21"/>
        <v/>
      </c>
      <c r="D454" s="16" t="str">
        <f t="shared" si="23"/>
        <v/>
      </c>
      <c r="E454" s="21"/>
      <c r="F454" s="7"/>
      <c r="G454" s="19"/>
      <c r="H454" s="17"/>
      <c r="I454" s="1"/>
      <c r="N454" s="1"/>
      <c r="O454" s="1"/>
      <c r="P454" s="18"/>
      <c r="Q454" s="18"/>
      <c r="R454" s="18"/>
      <c r="S454" s="18"/>
      <c r="T454" s="18"/>
      <c r="U454" s="18"/>
      <c r="V454" s="18"/>
      <c r="W454" s="18"/>
      <c r="X454" s="18"/>
      <c r="Y454" s="18"/>
      <c r="Z454" s="18"/>
      <c r="AA454" s="18"/>
      <c r="AB454" s="18"/>
      <c r="AC454" s="18"/>
      <c r="AD454" s="18"/>
      <c r="AE454" s="15"/>
      <c r="AF454" s="15"/>
    </row>
    <row r="455" spans="1:32" x14ac:dyDescent="0.25">
      <c r="A455" t="str">
        <f t="shared" ca="1" si="22"/>
        <v>20140825-000455--190001000000@LIBRARY.NASHVILLE.ORG</v>
      </c>
      <c r="B455" s="15" t="str">
        <f t="shared" si="21"/>
        <v/>
      </c>
      <c r="D455" s="16" t="str">
        <f t="shared" si="23"/>
        <v/>
      </c>
      <c r="E455" s="21"/>
      <c r="F455" s="7"/>
      <c r="G455" s="19"/>
      <c r="H455" s="17"/>
      <c r="I455" s="1"/>
      <c r="N455" s="1"/>
      <c r="O455" s="1"/>
      <c r="P455" s="18"/>
      <c r="Q455" s="18"/>
      <c r="R455" s="18"/>
      <c r="S455" s="18"/>
      <c r="T455" s="18"/>
      <c r="U455" s="18"/>
      <c r="V455" s="18"/>
      <c r="W455" s="18"/>
      <c r="X455" s="18"/>
      <c r="Y455" s="18"/>
      <c r="Z455" s="18"/>
      <c r="AA455" s="18"/>
      <c r="AB455" s="18"/>
      <c r="AC455" s="18"/>
      <c r="AD455" s="18"/>
      <c r="AE455" s="15"/>
      <c r="AF455" s="15"/>
    </row>
    <row r="456" spans="1:32" x14ac:dyDescent="0.25">
      <c r="A456" t="str">
        <f t="shared" ca="1" si="22"/>
        <v>20140825-000456--190001000000@LIBRARY.NASHVILLE.ORG</v>
      </c>
      <c r="B456" s="15" t="str">
        <f t="shared" si="21"/>
        <v/>
      </c>
      <c r="D456" s="16" t="str">
        <f t="shared" si="23"/>
        <v/>
      </c>
      <c r="E456" s="21"/>
      <c r="F456" s="7"/>
      <c r="G456" s="19"/>
      <c r="H456" s="17"/>
      <c r="I456" s="1"/>
      <c r="N456" s="1"/>
      <c r="O456" s="1"/>
      <c r="P456" s="18"/>
      <c r="Q456" s="18"/>
      <c r="R456" s="18"/>
      <c r="S456" s="18"/>
      <c r="T456" s="18"/>
      <c r="U456" s="18"/>
      <c r="V456" s="18"/>
      <c r="W456" s="18"/>
      <c r="X456" s="18"/>
      <c r="Y456" s="18"/>
      <c r="Z456" s="18"/>
      <c r="AA456" s="18"/>
      <c r="AB456" s="18"/>
      <c r="AC456" s="18"/>
      <c r="AD456" s="18"/>
      <c r="AE456" s="15"/>
      <c r="AF456" s="15"/>
    </row>
    <row r="457" spans="1:32" x14ac:dyDescent="0.25">
      <c r="A457" t="str">
        <f t="shared" ca="1" si="22"/>
        <v>20140825-000457--190001000000@LIBRARY.NASHVILLE.ORG</v>
      </c>
      <c r="B457" s="15" t="str">
        <f t="shared" si="21"/>
        <v/>
      </c>
      <c r="D457" s="16" t="str">
        <f t="shared" si="23"/>
        <v/>
      </c>
      <c r="E457" s="21"/>
      <c r="F457" s="7"/>
      <c r="G457" s="19"/>
      <c r="H457" s="17"/>
      <c r="I457" s="1"/>
      <c r="N457" s="1"/>
      <c r="O457" s="1"/>
      <c r="P457" s="18"/>
      <c r="Q457" s="18"/>
      <c r="R457" s="18"/>
      <c r="S457" s="18"/>
      <c r="T457" s="18"/>
      <c r="U457" s="18"/>
      <c r="V457" s="18"/>
      <c r="W457" s="18"/>
      <c r="X457" s="18"/>
      <c r="Y457" s="18"/>
      <c r="Z457" s="18"/>
      <c r="AA457" s="18"/>
      <c r="AB457" s="18"/>
      <c r="AC457" s="18"/>
      <c r="AD457" s="18"/>
      <c r="AE457" s="15"/>
      <c r="AF457" s="15"/>
    </row>
    <row r="458" spans="1:32" x14ac:dyDescent="0.25">
      <c r="A458" t="str">
        <f t="shared" ca="1" si="22"/>
        <v>20140825-000458--190001000000@LIBRARY.NASHVILLE.ORG</v>
      </c>
      <c r="B458" s="15" t="str">
        <f t="shared" si="21"/>
        <v/>
      </c>
      <c r="D458" s="16" t="str">
        <f t="shared" si="23"/>
        <v/>
      </c>
      <c r="E458" s="21"/>
      <c r="F458" s="7"/>
      <c r="G458" s="19"/>
      <c r="H458" s="17"/>
      <c r="I458" s="1"/>
      <c r="N458" s="1"/>
      <c r="O458" s="1"/>
      <c r="P458" s="18"/>
      <c r="Q458" s="18"/>
      <c r="R458" s="18"/>
      <c r="S458" s="18"/>
      <c r="T458" s="18"/>
      <c r="U458" s="18"/>
      <c r="V458" s="18"/>
      <c r="W458" s="18"/>
      <c r="X458" s="18"/>
      <c r="Y458" s="18"/>
      <c r="Z458" s="18"/>
      <c r="AA458" s="18"/>
      <c r="AB458" s="18"/>
      <c r="AC458" s="18"/>
      <c r="AD458" s="18"/>
      <c r="AE458" s="15"/>
      <c r="AF458" s="15"/>
    </row>
    <row r="459" spans="1:32" x14ac:dyDescent="0.25">
      <c r="A459" t="str">
        <f t="shared" ca="1" si="22"/>
        <v>20140825-000459--190001000000@LIBRARY.NASHVILLE.ORG</v>
      </c>
      <c r="B459" s="15" t="str">
        <f t="shared" si="21"/>
        <v/>
      </c>
      <c r="D459" s="16" t="str">
        <f t="shared" si="23"/>
        <v/>
      </c>
      <c r="E459" s="21"/>
      <c r="F459" s="7"/>
      <c r="G459" s="19"/>
      <c r="H459" s="17"/>
      <c r="I459" s="1"/>
      <c r="N459" s="1"/>
      <c r="O459" s="1"/>
      <c r="P459" s="18"/>
      <c r="Q459" s="18"/>
      <c r="R459" s="18"/>
      <c r="S459" s="18"/>
      <c r="T459" s="18"/>
      <c r="U459" s="18"/>
      <c r="V459" s="18"/>
      <c r="W459" s="18"/>
      <c r="X459" s="18"/>
      <c r="Y459" s="18"/>
      <c r="Z459" s="18"/>
      <c r="AA459" s="18"/>
      <c r="AB459" s="18"/>
      <c r="AC459" s="18"/>
      <c r="AD459" s="18"/>
      <c r="AE459" s="15"/>
      <c r="AF459" s="15"/>
    </row>
    <row r="460" spans="1:32" x14ac:dyDescent="0.25">
      <c r="A460" t="str">
        <f t="shared" ca="1" si="22"/>
        <v>20140825-000460--190001000000@LIBRARY.NASHVILLE.ORG</v>
      </c>
      <c r="B460" s="15" t="str">
        <f t="shared" si="21"/>
        <v/>
      </c>
      <c r="D460" s="16" t="str">
        <f t="shared" si="23"/>
        <v/>
      </c>
      <c r="E460" s="21"/>
      <c r="F460" s="7"/>
      <c r="G460" s="19"/>
      <c r="H460" s="17"/>
      <c r="I460" s="1"/>
      <c r="N460" s="1"/>
      <c r="O460" s="1"/>
      <c r="P460" s="18"/>
      <c r="Q460" s="18"/>
      <c r="R460" s="18"/>
      <c r="S460" s="18"/>
      <c r="T460" s="18"/>
      <c r="U460" s="18"/>
      <c r="V460" s="18"/>
      <c r="W460" s="18"/>
      <c r="X460" s="18"/>
      <c r="Y460" s="18"/>
      <c r="Z460" s="18"/>
      <c r="AA460" s="18"/>
      <c r="AB460" s="18"/>
      <c r="AC460" s="18"/>
      <c r="AD460" s="18"/>
      <c r="AE460" s="15"/>
      <c r="AF460" s="15"/>
    </row>
    <row r="461" spans="1:32" x14ac:dyDescent="0.25">
      <c r="A461" t="str">
        <f t="shared" ca="1" si="22"/>
        <v>20140825-000461--190001000000@LIBRARY.NASHVILLE.ORG</v>
      </c>
      <c r="B461" s="15" t="str">
        <f t="shared" ref="B461:B524" si="24">IF($B$2=0,"",TEXT($B$2,""))</f>
        <v/>
      </c>
      <c r="D461" s="16" t="str">
        <f t="shared" si="23"/>
        <v/>
      </c>
      <c r="E461" s="21"/>
      <c r="F461" s="7"/>
      <c r="G461" s="19"/>
      <c r="H461" s="17"/>
      <c r="I461" s="1"/>
      <c r="N461" s="1"/>
      <c r="O461" s="1"/>
      <c r="P461" s="18"/>
      <c r="Q461" s="18"/>
      <c r="R461" s="18"/>
      <c r="S461" s="18"/>
      <c r="T461" s="18"/>
      <c r="U461" s="18"/>
      <c r="V461" s="18"/>
      <c r="W461" s="18"/>
      <c r="X461" s="18"/>
      <c r="Y461" s="18"/>
      <c r="Z461" s="18"/>
      <c r="AA461" s="18"/>
      <c r="AB461" s="18"/>
      <c r="AC461" s="18"/>
      <c r="AD461" s="18"/>
      <c r="AE461" s="15"/>
      <c r="AF461" s="15"/>
    </row>
    <row r="462" spans="1:32" x14ac:dyDescent="0.25">
      <c r="A462" t="str">
        <f t="shared" ca="1" si="22"/>
        <v>20140825-000462--190001000000@LIBRARY.NASHVILLE.ORG</v>
      </c>
      <c r="B462" s="15" t="str">
        <f t="shared" si="24"/>
        <v/>
      </c>
      <c r="D462" s="16" t="str">
        <f t="shared" si="23"/>
        <v/>
      </c>
      <c r="E462" s="21"/>
      <c r="F462" s="7"/>
      <c r="G462" s="19"/>
      <c r="H462" s="17"/>
      <c r="I462" s="1"/>
      <c r="N462" s="1"/>
      <c r="O462" s="1"/>
      <c r="P462" s="18"/>
      <c r="Q462" s="18"/>
      <c r="R462" s="18"/>
      <c r="S462" s="18"/>
      <c r="T462" s="18"/>
      <c r="U462" s="18"/>
      <c r="V462" s="18"/>
      <c r="W462" s="18"/>
      <c r="X462" s="18"/>
      <c r="Y462" s="18"/>
      <c r="Z462" s="18"/>
      <c r="AA462" s="18"/>
      <c r="AB462" s="18"/>
      <c r="AC462" s="18"/>
      <c r="AD462" s="18"/>
      <c r="AE462" s="15"/>
      <c r="AF462" s="15"/>
    </row>
    <row r="463" spans="1:32" x14ac:dyDescent="0.25">
      <c r="A463" t="str">
        <f t="shared" ca="1" si="22"/>
        <v>20140825-000463--190001000000@LIBRARY.NASHVILLE.ORG</v>
      </c>
      <c r="B463" s="15" t="str">
        <f t="shared" si="24"/>
        <v/>
      </c>
      <c r="D463" s="16" t="str">
        <f t="shared" si="23"/>
        <v/>
      </c>
      <c r="E463" s="21"/>
      <c r="F463" s="7"/>
      <c r="G463" s="19"/>
      <c r="H463" s="17"/>
      <c r="I463" s="1"/>
      <c r="N463" s="1"/>
      <c r="O463" s="1"/>
      <c r="P463" s="18"/>
      <c r="Q463" s="18"/>
      <c r="R463" s="18"/>
      <c r="S463" s="18"/>
      <c r="T463" s="18"/>
      <c r="U463" s="18"/>
      <c r="V463" s="18"/>
      <c r="W463" s="18"/>
      <c r="X463" s="18"/>
      <c r="Y463" s="18"/>
      <c r="Z463" s="18"/>
      <c r="AA463" s="18"/>
      <c r="AB463" s="18"/>
      <c r="AC463" s="18"/>
      <c r="AD463" s="18"/>
      <c r="AE463" s="15"/>
      <c r="AF463" s="15"/>
    </row>
    <row r="464" spans="1:32" x14ac:dyDescent="0.25">
      <c r="A464" t="str">
        <f t="shared" ca="1" si="22"/>
        <v>20140825-000464--190001000000@LIBRARY.NASHVILLE.ORG</v>
      </c>
      <c r="B464" s="15" t="str">
        <f t="shared" si="24"/>
        <v/>
      </c>
      <c r="D464" s="16" t="str">
        <f t="shared" si="23"/>
        <v/>
      </c>
      <c r="E464" s="21"/>
      <c r="F464" s="7"/>
      <c r="G464" s="19"/>
      <c r="H464" s="17"/>
      <c r="I464" s="1"/>
      <c r="N464" s="1"/>
      <c r="O464" s="1"/>
      <c r="P464" s="18"/>
      <c r="Q464" s="18"/>
      <c r="R464" s="18"/>
      <c r="S464" s="18"/>
      <c r="T464" s="18"/>
      <c r="U464" s="18"/>
      <c r="V464" s="18"/>
      <c r="W464" s="18"/>
      <c r="X464" s="18"/>
      <c r="Y464" s="18"/>
      <c r="Z464" s="18"/>
      <c r="AA464" s="18"/>
      <c r="AB464" s="18"/>
      <c r="AC464" s="18"/>
      <c r="AD464" s="18"/>
      <c r="AE464" s="15"/>
      <c r="AF464" s="15"/>
    </row>
    <row r="465" spans="1:32" x14ac:dyDescent="0.25">
      <c r="A465" t="str">
        <f t="shared" ca="1" si="22"/>
        <v>20140825-000465--190001000000@LIBRARY.NASHVILLE.ORG</v>
      </c>
      <c r="B465" s="15" t="str">
        <f t="shared" si="24"/>
        <v/>
      </c>
      <c r="D465" s="16" t="str">
        <f t="shared" si="23"/>
        <v/>
      </c>
      <c r="E465" s="21"/>
      <c r="F465" s="7"/>
      <c r="G465" s="19"/>
      <c r="H465" s="17"/>
      <c r="I465" s="1"/>
      <c r="N465" s="1"/>
      <c r="O465" s="1"/>
      <c r="P465" s="18"/>
      <c r="Q465" s="18"/>
      <c r="R465" s="18"/>
      <c r="S465" s="18"/>
      <c r="T465" s="18"/>
      <c r="U465" s="18"/>
      <c r="V465" s="18"/>
      <c r="W465" s="18"/>
      <c r="X465" s="18"/>
      <c r="Y465" s="18"/>
      <c r="Z465" s="18"/>
      <c r="AA465" s="18"/>
      <c r="AB465" s="18"/>
      <c r="AC465" s="18"/>
      <c r="AD465" s="18"/>
      <c r="AE465" s="15"/>
      <c r="AF465" s="15"/>
    </row>
    <row r="466" spans="1:32" x14ac:dyDescent="0.25">
      <c r="A466" t="str">
        <f t="shared" ca="1" si="22"/>
        <v>20140825-000466--190001000000@LIBRARY.NASHVILLE.ORG</v>
      </c>
      <c r="B466" s="15" t="str">
        <f t="shared" si="24"/>
        <v/>
      </c>
      <c r="D466" s="16" t="str">
        <f t="shared" si="23"/>
        <v/>
      </c>
      <c r="E466" s="21"/>
      <c r="F466" s="7"/>
      <c r="G466" s="19"/>
      <c r="H466" s="17"/>
      <c r="I466" s="1"/>
      <c r="N466" s="1"/>
      <c r="O466" s="1"/>
      <c r="P466" s="18"/>
      <c r="Q466" s="18"/>
      <c r="R466" s="18"/>
      <c r="S466" s="18"/>
      <c r="T466" s="18"/>
      <c r="U466" s="18"/>
      <c r="V466" s="18"/>
      <c r="W466" s="18"/>
      <c r="X466" s="18"/>
      <c r="Y466" s="18"/>
      <c r="Z466" s="18"/>
      <c r="AA466" s="18"/>
      <c r="AB466" s="18"/>
      <c r="AC466" s="18"/>
      <c r="AD466" s="18"/>
      <c r="AE466" s="15"/>
      <c r="AF466" s="15"/>
    </row>
    <row r="467" spans="1:32" x14ac:dyDescent="0.25">
      <c r="A467" t="str">
        <f t="shared" ca="1" si="22"/>
        <v>20140825-000467--190001000000@LIBRARY.NASHVILLE.ORG</v>
      </c>
      <c r="B467" s="15" t="str">
        <f t="shared" si="24"/>
        <v/>
      </c>
      <c r="D467" s="16" t="str">
        <f t="shared" si="23"/>
        <v/>
      </c>
      <c r="E467" s="21"/>
      <c r="F467" s="7"/>
      <c r="G467" s="19"/>
      <c r="H467" s="17"/>
      <c r="I467" s="1"/>
      <c r="N467" s="1"/>
      <c r="O467" s="1"/>
      <c r="P467" s="18"/>
      <c r="Q467" s="18"/>
      <c r="R467" s="18"/>
      <c r="S467" s="18"/>
      <c r="T467" s="18"/>
      <c r="U467" s="18"/>
      <c r="V467" s="18"/>
      <c r="W467" s="18"/>
      <c r="X467" s="18"/>
      <c r="Y467" s="18"/>
      <c r="Z467" s="18"/>
      <c r="AA467" s="18"/>
      <c r="AB467" s="18"/>
      <c r="AC467" s="18"/>
      <c r="AD467" s="18"/>
      <c r="AE467" s="15"/>
      <c r="AF467" s="15"/>
    </row>
    <row r="468" spans="1:32" x14ac:dyDescent="0.25">
      <c r="A468" t="str">
        <f t="shared" ca="1" si="22"/>
        <v>20140825-000468--190001000000@LIBRARY.NASHVILLE.ORG</v>
      </c>
      <c r="B468" s="15" t="str">
        <f t="shared" si="24"/>
        <v/>
      </c>
      <c r="D468" s="16" t="str">
        <f t="shared" si="23"/>
        <v/>
      </c>
      <c r="E468" s="21"/>
      <c r="F468" s="7"/>
      <c r="G468" s="19"/>
      <c r="H468" s="17"/>
      <c r="I468" s="1"/>
      <c r="N468" s="1"/>
      <c r="O468" s="1"/>
      <c r="P468" s="18"/>
      <c r="Q468" s="18"/>
      <c r="R468" s="18"/>
      <c r="S468" s="18"/>
      <c r="T468" s="18"/>
      <c r="U468" s="18"/>
      <c r="V468" s="18"/>
      <c r="W468" s="18"/>
      <c r="X468" s="18"/>
      <c r="Y468" s="18"/>
      <c r="Z468" s="18"/>
      <c r="AA468" s="18"/>
      <c r="AB468" s="18"/>
      <c r="AC468" s="18"/>
      <c r="AD468" s="18"/>
      <c r="AE468" s="15"/>
      <c r="AF468" s="15"/>
    </row>
    <row r="469" spans="1:32" x14ac:dyDescent="0.25">
      <c r="A469" t="str">
        <f t="shared" ca="1" si="22"/>
        <v>20140825-000469--190001000000@LIBRARY.NASHVILLE.ORG</v>
      </c>
      <c r="B469" s="15" t="str">
        <f t="shared" si="24"/>
        <v/>
      </c>
      <c r="D469" s="16" t="str">
        <f t="shared" si="23"/>
        <v/>
      </c>
      <c r="E469" s="21"/>
      <c r="F469" s="7"/>
      <c r="G469" s="19"/>
      <c r="H469" s="17"/>
      <c r="I469" s="1"/>
      <c r="N469" s="1"/>
      <c r="O469" s="1"/>
      <c r="P469" s="18"/>
      <c r="Q469" s="18"/>
      <c r="R469" s="18"/>
      <c r="S469" s="18"/>
      <c r="T469" s="18"/>
      <c r="U469" s="18"/>
      <c r="V469" s="18"/>
      <c r="W469" s="18"/>
      <c r="X469" s="18"/>
      <c r="Y469" s="18"/>
      <c r="Z469" s="18"/>
      <c r="AA469" s="18"/>
      <c r="AB469" s="18"/>
      <c r="AC469" s="18"/>
      <c r="AD469" s="18"/>
      <c r="AE469" s="15"/>
      <c r="AF469" s="15"/>
    </row>
    <row r="470" spans="1:32" x14ac:dyDescent="0.25">
      <c r="A470" t="str">
        <f t="shared" ca="1" si="22"/>
        <v>20140825-000470--190001000000@LIBRARY.NASHVILLE.ORG</v>
      </c>
      <c r="B470" s="15" t="str">
        <f t="shared" si="24"/>
        <v/>
      </c>
      <c r="D470" s="16" t="str">
        <f t="shared" si="23"/>
        <v/>
      </c>
      <c r="E470" s="21"/>
      <c r="F470" s="7"/>
      <c r="G470" s="19"/>
      <c r="H470" s="17"/>
      <c r="I470" s="1"/>
      <c r="N470" s="1"/>
      <c r="O470" s="1"/>
      <c r="P470" s="18"/>
      <c r="Q470" s="18"/>
      <c r="R470" s="18"/>
      <c r="S470" s="18"/>
      <c r="T470" s="18"/>
      <c r="U470" s="18"/>
      <c r="V470" s="18"/>
      <c r="W470" s="18"/>
      <c r="X470" s="18"/>
      <c r="Y470" s="18"/>
      <c r="Z470" s="18"/>
      <c r="AA470" s="18"/>
      <c r="AB470" s="18"/>
      <c r="AC470" s="18"/>
      <c r="AD470" s="18"/>
      <c r="AE470" s="15"/>
      <c r="AF470" s="15"/>
    </row>
    <row r="471" spans="1:32" x14ac:dyDescent="0.25">
      <c r="A471" t="str">
        <f t="shared" ca="1" si="22"/>
        <v>20140825-000471--190001000000@LIBRARY.NASHVILLE.ORG</v>
      </c>
      <c r="B471" s="15" t="str">
        <f t="shared" si="24"/>
        <v/>
      </c>
      <c r="D471" s="16" t="str">
        <f t="shared" si="23"/>
        <v/>
      </c>
      <c r="E471" s="21"/>
      <c r="F471" s="7"/>
      <c r="G471" s="19"/>
      <c r="H471" s="17"/>
      <c r="I471" s="1"/>
      <c r="N471" s="1"/>
      <c r="O471" s="1"/>
      <c r="P471" s="18"/>
      <c r="Q471" s="18"/>
      <c r="R471" s="18"/>
      <c r="S471" s="18"/>
      <c r="T471" s="18"/>
      <c r="U471" s="18"/>
      <c r="V471" s="18"/>
      <c r="W471" s="18"/>
      <c r="X471" s="18"/>
      <c r="Y471" s="18"/>
      <c r="Z471" s="18"/>
      <c r="AA471" s="18"/>
      <c r="AB471" s="18"/>
      <c r="AC471" s="18"/>
      <c r="AD471" s="18"/>
      <c r="AE471" s="15"/>
      <c r="AF471" s="15"/>
    </row>
    <row r="472" spans="1:32" x14ac:dyDescent="0.25">
      <c r="A472" t="str">
        <f t="shared" ca="1" si="22"/>
        <v>20140825-000472--190001000000@LIBRARY.NASHVILLE.ORG</v>
      </c>
      <c r="B472" s="15" t="str">
        <f t="shared" si="24"/>
        <v/>
      </c>
      <c r="D472" s="16" t="str">
        <f t="shared" si="23"/>
        <v/>
      </c>
      <c r="E472" s="21"/>
      <c r="F472" s="7"/>
      <c r="G472" s="19"/>
      <c r="H472" s="17"/>
      <c r="I472" s="1"/>
      <c r="N472" s="1"/>
      <c r="O472" s="1"/>
      <c r="P472" s="18"/>
      <c r="Q472" s="18"/>
      <c r="R472" s="18"/>
      <c r="S472" s="18"/>
      <c r="T472" s="18"/>
      <c r="U472" s="18"/>
      <c r="V472" s="18"/>
      <c r="W472" s="18"/>
      <c r="X472" s="18"/>
      <c r="Y472" s="18"/>
      <c r="Z472" s="18"/>
      <c r="AA472" s="18"/>
      <c r="AB472" s="18"/>
      <c r="AC472" s="18"/>
      <c r="AD472" s="18"/>
      <c r="AE472" s="15"/>
      <c r="AF472" s="15"/>
    </row>
    <row r="473" spans="1:32" x14ac:dyDescent="0.25">
      <c r="A473" t="str">
        <f t="shared" ca="1" si="22"/>
        <v>20140825-000473--190001000000@LIBRARY.NASHVILLE.ORG</v>
      </c>
      <c r="B473" s="15" t="str">
        <f t="shared" si="24"/>
        <v/>
      </c>
      <c r="D473" s="16" t="str">
        <f t="shared" si="23"/>
        <v/>
      </c>
      <c r="E473" s="21"/>
      <c r="F473" s="7"/>
      <c r="G473" s="19"/>
      <c r="H473" s="17"/>
      <c r="I473" s="1"/>
      <c r="N473" s="1"/>
      <c r="O473" s="1"/>
      <c r="P473" s="18"/>
      <c r="Q473" s="18"/>
      <c r="R473" s="18"/>
      <c r="S473" s="18"/>
      <c r="T473" s="18"/>
      <c r="U473" s="18"/>
      <c r="V473" s="18"/>
      <c r="W473" s="18"/>
      <c r="X473" s="18"/>
      <c r="Y473" s="18"/>
      <c r="Z473" s="18"/>
      <c r="AA473" s="18"/>
      <c r="AB473" s="18"/>
      <c r="AC473" s="18"/>
      <c r="AD473" s="18"/>
      <c r="AE473" s="15"/>
      <c r="AF473" s="15"/>
    </row>
    <row r="474" spans="1:32" x14ac:dyDescent="0.25">
      <c r="A474" t="str">
        <f t="shared" ca="1" si="22"/>
        <v>20140825-000474--190001000000@LIBRARY.NASHVILLE.ORG</v>
      </c>
      <c r="B474" s="15" t="str">
        <f t="shared" si="24"/>
        <v/>
      </c>
      <c r="D474" s="16" t="str">
        <f t="shared" si="23"/>
        <v/>
      </c>
      <c r="E474" s="21"/>
      <c r="F474" s="7"/>
      <c r="G474" s="19"/>
      <c r="H474" s="17"/>
      <c r="I474" s="1"/>
      <c r="N474" s="1"/>
      <c r="O474" s="1"/>
      <c r="P474" s="18"/>
      <c r="Q474" s="18"/>
      <c r="R474" s="18"/>
      <c r="S474" s="18"/>
      <c r="T474" s="18"/>
      <c r="U474" s="18"/>
      <c r="V474" s="18"/>
      <c r="W474" s="18"/>
      <c r="X474" s="18"/>
      <c r="Y474" s="18"/>
      <c r="Z474" s="18"/>
      <c r="AA474" s="18"/>
      <c r="AB474" s="18"/>
      <c r="AC474" s="18"/>
      <c r="AD474" s="18"/>
      <c r="AE474" s="15"/>
      <c r="AF474" s="15"/>
    </row>
    <row r="475" spans="1:32" x14ac:dyDescent="0.25">
      <c r="A475" t="str">
        <f t="shared" ca="1" si="22"/>
        <v>20140825-000475--190001000000@LIBRARY.NASHVILLE.ORG</v>
      </c>
      <c r="B475" s="15" t="str">
        <f t="shared" si="24"/>
        <v/>
      </c>
      <c r="D475" s="16" t="str">
        <f t="shared" si="23"/>
        <v/>
      </c>
      <c r="E475" s="21"/>
      <c r="F475" s="7"/>
      <c r="G475" s="19"/>
      <c r="H475" s="17"/>
      <c r="I475" s="1"/>
      <c r="N475" s="1"/>
      <c r="O475" s="1"/>
      <c r="P475" s="18"/>
      <c r="Q475" s="18"/>
      <c r="R475" s="18"/>
      <c r="S475" s="18"/>
      <c r="T475" s="18"/>
      <c r="U475" s="18"/>
      <c r="V475" s="18"/>
      <c r="W475" s="18"/>
      <c r="X475" s="18"/>
      <c r="Y475" s="18"/>
      <c r="Z475" s="18"/>
      <c r="AA475" s="18"/>
      <c r="AB475" s="18"/>
      <c r="AC475" s="18"/>
      <c r="AD475" s="18"/>
      <c r="AE475" s="15"/>
      <c r="AF475" s="15"/>
    </row>
    <row r="476" spans="1:32" x14ac:dyDescent="0.25">
      <c r="A476" t="str">
        <f t="shared" ca="1" si="22"/>
        <v>20140825-000476--190001000000@LIBRARY.NASHVILLE.ORG</v>
      </c>
      <c r="B476" s="15" t="str">
        <f t="shared" si="24"/>
        <v/>
      </c>
      <c r="D476" s="16" t="str">
        <f t="shared" si="23"/>
        <v/>
      </c>
      <c r="E476" s="21"/>
      <c r="F476" s="7"/>
      <c r="G476" s="19"/>
      <c r="H476" s="17"/>
      <c r="I476" s="1"/>
      <c r="N476" s="1"/>
      <c r="O476" s="1"/>
      <c r="P476" s="18"/>
      <c r="Q476" s="18"/>
      <c r="R476" s="18"/>
      <c r="S476" s="18"/>
      <c r="T476" s="18"/>
      <c r="U476" s="18"/>
      <c r="V476" s="18"/>
      <c r="W476" s="18"/>
      <c r="X476" s="18"/>
      <c r="Y476" s="18"/>
      <c r="Z476" s="18"/>
      <c r="AA476" s="18"/>
      <c r="AB476" s="18"/>
      <c r="AC476" s="18"/>
      <c r="AD476" s="18"/>
      <c r="AE476" s="15"/>
      <c r="AF476" s="15"/>
    </row>
    <row r="477" spans="1:32" x14ac:dyDescent="0.25">
      <c r="A477" t="str">
        <f t="shared" ca="1" si="22"/>
        <v>20140825-000477--190001000000@LIBRARY.NASHVILLE.ORG</v>
      </c>
      <c r="B477" s="15" t="str">
        <f t="shared" si="24"/>
        <v/>
      </c>
      <c r="D477" s="16" t="str">
        <f t="shared" si="23"/>
        <v/>
      </c>
      <c r="E477" s="21"/>
      <c r="F477" s="7"/>
      <c r="G477" s="19"/>
      <c r="H477" s="17"/>
      <c r="I477" s="1"/>
      <c r="N477" s="1"/>
      <c r="O477" s="1"/>
      <c r="P477" s="18"/>
      <c r="Q477" s="18"/>
      <c r="R477" s="18"/>
      <c r="S477" s="18"/>
      <c r="T477" s="18"/>
      <c r="U477" s="18"/>
      <c r="V477" s="18"/>
      <c r="W477" s="18"/>
      <c r="X477" s="18"/>
      <c r="Y477" s="18"/>
      <c r="Z477" s="18"/>
      <c r="AA477" s="18"/>
      <c r="AB477" s="18"/>
      <c r="AC477" s="18"/>
      <c r="AD477" s="18"/>
      <c r="AE477" s="15"/>
      <c r="AF477" s="15"/>
    </row>
    <row r="478" spans="1:32" x14ac:dyDescent="0.25">
      <c r="A478" t="str">
        <f t="shared" ca="1" si="22"/>
        <v>20140825-000478--190001000000@LIBRARY.NASHVILLE.ORG</v>
      </c>
      <c r="B478" s="15" t="str">
        <f t="shared" si="24"/>
        <v/>
      </c>
      <c r="D478" s="16" t="str">
        <f t="shared" si="23"/>
        <v/>
      </c>
      <c r="E478" s="21"/>
      <c r="F478" s="7"/>
      <c r="G478" s="19"/>
      <c r="H478" s="17"/>
      <c r="I478" s="1"/>
      <c r="N478" s="1"/>
      <c r="O478" s="1"/>
      <c r="P478" s="18"/>
      <c r="Q478" s="18"/>
      <c r="R478" s="18"/>
      <c r="S478" s="18"/>
      <c r="T478" s="18"/>
      <c r="U478" s="18"/>
      <c r="V478" s="18"/>
      <c r="W478" s="18"/>
      <c r="X478" s="18"/>
      <c r="Y478" s="18"/>
      <c r="Z478" s="18"/>
      <c r="AA478" s="18"/>
      <c r="AB478" s="18"/>
      <c r="AC478" s="18"/>
      <c r="AD478" s="18"/>
      <c r="AE478" s="15"/>
      <c r="AF478" s="15"/>
    </row>
    <row r="479" spans="1:32" x14ac:dyDescent="0.25">
      <c r="A479" t="str">
        <f t="shared" ca="1" si="22"/>
        <v>20140825-000479--190001000000@LIBRARY.NASHVILLE.ORG</v>
      </c>
      <c r="B479" s="15" t="str">
        <f t="shared" si="24"/>
        <v/>
      </c>
      <c r="D479" s="16" t="str">
        <f t="shared" si="23"/>
        <v/>
      </c>
      <c r="E479" s="21"/>
      <c r="F479" s="7"/>
      <c r="G479" s="19"/>
      <c r="H479" s="17"/>
      <c r="I479" s="1"/>
      <c r="N479" s="1"/>
      <c r="O479" s="1"/>
      <c r="P479" s="18"/>
      <c r="Q479" s="18"/>
      <c r="R479" s="18"/>
      <c r="S479" s="18"/>
      <c r="T479" s="18"/>
      <c r="U479" s="18"/>
      <c r="V479" s="18"/>
      <c r="W479" s="18"/>
      <c r="X479" s="18"/>
      <c r="Y479" s="18"/>
      <c r="Z479" s="18"/>
      <c r="AA479" s="18"/>
      <c r="AB479" s="18"/>
      <c r="AC479" s="18"/>
      <c r="AD479" s="18"/>
      <c r="AE479" s="15"/>
      <c r="AF479" s="15"/>
    </row>
    <row r="480" spans="1:32" x14ac:dyDescent="0.25">
      <c r="A480" t="str">
        <f t="shared" ca="1" si="22"/>
        <v>20140825-000480--190001000000@LIBRARY.NASHVILLE.ORG</v>
      </c>
      <c r="B480" s="15" t="str">
        <f t="shared" si="24"/>
        <v/>
      </c>
      <c r="D480" s="16" t="str">
        <f t="shared" si="23"/>
        <v/>
      </c>
      <c r="E480" s="21"/>
      <c r="F480" s="7"/>
      <c r="G480" s="19"/>
      <c r="H480" s="17"/>
      <c r="I480" s="1"/>
      <c r="N480" s="1"/>
      <c r="O480" s="1"/>
      <c r="P480" s="18"/>
      <c r="Q480" s="18"/>
      <c r="R480" s="18"/>
      <c r="S480" s="18"/>
      <c r="T480" s="18"/>
      <c r="U480" s="18"/>
      <c r="V480" s="18"/>
      <c r="W480" s="18"/>
      <c r="X480" s="18"/>
      <c r="Y480" s="18"/>
      <c r="Z480" s="18"/>
      <c r="AA480" s="18"/>
      <c r="AB480" s="18"/>
      <c r="AC480" s="18"/>
      <c r="AD480" s="18"/>
      <c r="AE480" s="15"/>
      <c r="AF480" s="15"/>
    </row>
    <row r="481" spans="1:32" x14ac:dyDescent="0.25">
      <c r="A481" t="str">
        <f t="shared" ca="1" si="22"/>
        <v>20140825-000481--190001000000@LIBRARY.NASHVILLE.ORG</v>
      </c>
      <c r="B481" s="15" t="str">
        <f t="shared" si="24"/>
        <v/>
      </c>
      <c r="D481" s="16" t="str">
        <f t="shared" si="23"/>
        <v/>
      </c>
      <c r="E481" s="21"/>
      <c r="F481" s="7"/>
      <c r="G481" s="19"/>
      <c r="H481" s="17"/>
      <c r="I481" s="1"/>
      <c r="N481" s="1"/>
      <c r="O481" s="1"/>
      <c r="P481" s="18"/>
      <c r="Q481" s="18"/>
      <c r="R481" s="18"/>
      <c r="S481" s="18"/>
      <c r="T481" s="18"/>
      <c r="U481" s="18"/>
      <c r="V481" s="18"/>
      <c r="W481" s="18"/>
      <c r="X481" s="18"/>
      <c r="Y481" s="18"/>
      <c r="Z481" s="18"/>
      <c r="AA481" s="18"/>
      <c r="AB481" s="18"/>
      <c r="AC481" s="18"/>
      <c r="AD481" s="18"/>
      <c r="AE481" s="15"/>
      <c r="AF481" s="15"/>
    </row>
    <row r="482" spans="1:32" x14ac:dyDescent="0.25">
      <c r="A482" t="str">
        <f t="shared" ca="1" si="22"/>
        <v>20140825-000482--190001000000@LIBRARY.NASHVILLE.ORG</v>
      </c>
      <c r="B482" s="15" t="str">
        <f t="shared" si="24"/>
        <v/>
      </c>
      <c r="D482" s="16" t="str">
        <f t="shared" si="23"/>
        <v/>
      </c>
      <c r="E482" s="21"/>
      <c r="F482" s="7"/>
      <c r="G482" s="19"/>
      <c r="H482" s="17"/>
      <c r="I482" s="1"/>
      <c r="N482" s="1"/>
      <c r="O482" s="1"/>
      <c r="P482" s="18"/>
      <c r="Q482" s="18"/>
      <c r="R482" s="18"/>
      <c r="S482" s="18"/>
      <c r="T482" s="18"/>
      <c r="U482" s="18"/>
      <c r="V482" s="18"/>
      <c r="W482" s="18"/>
      <c r="X482" s="18"/>
      <c r="Y482" s="18"/>
      <c r="Z482" s="18"/>
      <c r="AA482" s="18"/>
      <c r="AB482" s="18"/>
      <c r="AC482" s="18"/>
      <c r="AD482" s="18"/>
      <c r="AE482" s="15"/>
      <c r="AF482" s="15"/>
    </row>
    <row r="483" spans="1:32" x14ac:dyDescent="0.25">
      <c r="A483" t="str">
        <f t="shared" ca="1" si="22"/>
        <v>20140825-000483--190001000000@LIBRARY.NASHVILLE.ORG</v>
      </c>
      <c r="B483" s="15" t="str">
        <f t="shared" si="24"/>
        <v/>
      </c>
      <c r="D483" s="16" t="str">
        <f t="shared" si="23"/>
        <v/>
      </c>
      <c r="E483" s="21"/>
      <c r="F483" s="7"/>
      <c r="G483" s="19"/>
      <c r="H483" s="17"/>
      <c r="I483" s="1"/>
      <c r="N483" s="1"/>
      <c r="O483" s="1"/>
      <c r="P483" s="18"/>
      <c r="Q483" s="18"/>
      <c r="R483" s="18"/>
      <c r="S483" s="18"/>
      <c r="T483" s="18"/>
      <c r="U483" s="18"/>
      <c r="V483" s="18"/>
      <c r="W483" s="18"/>
      <c r="X483" s="18"/>
      <c r="Y483" s="18"/>
      <c r="Z483" s="18"/>
      <c r="AA483" s="18"/>
      <c r="AB483" s="18"/>
      <c r="AC483" s="18"/>
      <c r="AD483" s="18"/>
      <c r="AE483" s="15"/>
      <c r="AF483" s="15"/>
    </row>
    <row r="484" spans="1:32" x14ac:dyDescent="0.25">
      <c r="A484" t="str">
        <f t="shared" ca="1" si="22"/>
        <v>20140825-000484--190001000000@LIBRARY.NASHVILLE.ORG</v>
      </c>
      <c r="B484" s="15" t="str">
        <f t="shared" si="24"/>
        <v/>
      </c>
      <c r="D484" s="16" t="str">
        <f t="shared" si="23"/>
        <v/>
      </c>
      <c r="E484" s="21"/>
      <c r="F484" s="7"/>
      <c r="G484" s="19"/>
      <c r="H484" s="17"/>
      <c r="I484" s="1"/>
      <c r="N484" s="1"/>
      <c r="O484" s="1"/>
      <c r="P484" s="18"/>
      <c r="Q484" s="18"/>
      <c r="R484" s="18"/>
      <c r="S484" s="18"/>
      <c r="T484" s="18"/>
      <c r="U484" s="18"/>
      <c r="V484" s="18"/>
      <c r="W484" s="18"/>
      <c r="X484" s="18"/>
      <c r="Y484" s="18"/>
      <c r="Z484" s="18"/>
      <c r="AA484" s="18"/>
      <c r="AB484" s="18"/>
      <c r="AC484" s="18"/>
      <c r="AD484" s="18"/>
      <c r="AE484" s="15"/>
      <c r="AF484" s="15"/>
    </row>
    <row r="485" spans="1:32" x14ac:dyDescent="0.25">
      <c r="A485" t="str">
        <f t="shared" ca="1" si="22"/>
        <v>20140825-000485--190001000000@LIBRARY.NASHVILLE.ORG</v>
      </c>
      <c r="B485" s="15" t="str">
        <f t="shared" si="24"/>
        <v/>
      </c>
      <c r="D485" s="16" t="str">
        <f t="shared" si="23"/>
        <v/>
      </c>
      <c r="E485" s="21"/>
      <c r="F485" s="7"/>
      <c r="G485" s="19"/>
      <c r="H485" s="17"/>
      <c r="I485" s="1"/>
      <c r="N485" s="1"/>
      <c r="O485" s="1"/>
      <c r="P485" s="18"/>
      <c r="Q485" s="18"/>
      <c r="R485" s="18"/>
      <c r="S485" s="18"/>
      <c r="T485" s="18"/>
      <c r="U485" s="18"/>
      <c r="V485" s="18"/>
      <c r="W485" s="18"/>
      <c r="X485" s="18"/>
      <c r="Y485" s="18"/>
      <c r="Z485" s="18"/>
      <c r="AA485" s="18"/>
      <c r="AB485" s="18"/>
      <c r="AC485" s="18"/>
      <c r="AD485" s="18"/>
      <c r="AE485" s="15"/>
      <c r="AF485" s="15"/>
    </row>
    <row r="486" spans="1:32" x14ac:dyDescent="0.25">
      <c r="A486" t="str">
        <f t="shared" ca="1" si="22"/>
        <v>20140825-000486--190001000000@LIBRARY.NASHVILLE.ORG</v>
      </c>
      <c r="B486" s="15" t="str">
        <f t="shared" si="24"/>
        <v/>
      </c>
      <c r="D486" s="16" t="str">
        <f t="shared" si="23"/>
        <v/>
      </c>
      <c r="E486" s="21"/>
      <c r="F486" s="7"/>
      <c r="G486" s="19"/>
      <c r="H486" s="17"/>
      <c r="I486" s="1"/>
      <c r="N486" s="1"/>
      <c r="O486" s="1"/>
      <c r="P486" s="18"/>
      <c r="Q486" s="18"/>
      <c r="R486" s="18"/>
      <c r="S486" s="18"/>
      <c r="T486" s="18"/>
      <c r="U486" s="18"/>
      <c r="V486" s="18"/>
      <c r="W486" s="18"/>
      <c r="X486" s="18"/>
      <c r="Y486" s="18"/>
      <c r="Z486" s="18"/>
      <c r="AA486" s="18"/>
      <c r="AB486" s="18"/>
      <c r="AC486" s="18"/>
      <c r="AD486" s="18"/>
      <c r="AE486" s="15"/>
      <c r="AF486" s="15"/>
    </row>
    <row r="487" spans="1:32" x14ac:dyDescent="0.25">
      <c r="A487" t="str">
        <f t="shared" ca="1" si="22"/>
        <v>20140825-000487--190001000000@LIBRARY.NASHVILLE.ORG</v>
      </c>
      <c r="B487" s="15" t="str">
        <f t="shared" si="24"/>
        <v/>
      </c>
      <c r="D487" s="16" t="str">
        <f t="shared" si="23"/>
        <v/>
      </c>
      <c r="E487" s="21"/>
      <c r="F487" s="7"/>
      <c r="G487" s="19"/>
      <c r="H487" s="17"/>
      <c r="I487" s="1"/>
      <c r="N487" s="1"/>
      <c r="O487" s="1"/>
      <c r="P487" s="18"/>
      <c r="Q487" s="18"/>
      <c r="R487" s="18"/>
      <c r="S487" s="18"/>
      <c r="T487" s="18"/>
      <c r="U487" s="18"/>
      <c r="V487" s="18"/>
      <c r="W487" s="18"/>
      <c r="X487" s="18"/>
      <c r="Y487" s="18"/>
      <c r="Z487" s="18"/>
      <c r="AA487" s="18"/>
      <c r="AB487" s="18"/>
      <c r="AC487" s="18"/>
      <c r="AD487" s="18"/>
      <c r="AE487" s="15"/>
      <c r="AF487" s="15"/>
    </row>
    <row r="488" spans="1:32" x14ac:dyDescent="0.25">
      <c r="A488" t="str">
        <f t="shared" ca="1" si="22"/>
        <v>20140825-000488--190001000000@LIBRARY.NASHVILLE.ORG</v>
      </c>
      <c r="B488" s="15" t="str">
        <f t="shared" si="24"/>
        <v/>
      </c>
      <c r="D488" s="16" t="str">
        <f t="shared" si="23"/>
        <v/>
      </c>
      <c r="E488" s="21"/>
      <c r="F488" s="7"/>
      <c r="G488" s="19"/>
      <c r="H488" s="17"/>
      <c r="I488" s="1"/>
      <c r="N488" s="1"/>
      <c r="O488" s="1"/>
      <c r="P488" s="18"/>
      <c r="Q488" s="18"/>
      <c r="R488" s="18"/>
      <c r="S488" s="18"/>
      <c r="T488" s="18"/>
      <c r="U488" s="18"/>
      <c r="V488" s="18"/>
      <c r="W488" s="18"/>
      <c r="X488" s="18"/>
      <c r="Y488" s="18"/>
      <c r="Z488" s="18"/>
      <c r="AA488" s="18"/>
      <c r="AB488" s="18"/>
      <c r="AC488" s="18"/>
      <c r="AD488" s="18"/>
      <c r="AE488" s="15"/>
      <c r="AF488" s="15"/>
    </row>
    <row r="489" spans="1:32" x14ac:dyDescent="0.25">
      <c r="A489" t="str">
        <f t="shared" ca="1" si="22"/>
        <v>20140825-000489--190001000000@LIBRARY.NASHVILLE.ORG</v>
      </c>
      <c r="B489" s="15" t="str">
        <f t="shared" si="24"/>
        <v/>
      </c>
      <c r="D489" s="16" t="str">
        <f t="shared" si="23"/>
        <v/>
      </c>
      <c r="E489" s="21"/>
      <c r="F489" s="7"/>
      <c r="G489" s="19"/>
      <c r="H489" s="17"/>
      <c r="I489" s="1"/>
      <c r="N489" s="1"/>
      <c r="O489" s="1"/>
      <c r="P489" s="18"/>
      <c r="Q489" s="18"/>
      <c r="R489" s="18"/>
      <c r="S489" s="18"/>
      <c r="T489" s="18"/>
      <c r="U489" s="18"/>
      <c r="V489" s="18"/>
      <c r="W489" s="18"/>
      <c r="X489" s="18"/>
      <c r="Y489" s="18"/>
      <c r="Z489" s="18"/>
      <c r="AA489" s="18"/>
      <c r="AB489" s="18"/>
      <c r="AC489" s="18"/>
      <c r="AD489" s="18"/>
      <c r="AE489" s="15"/>
      <c r="AF489" s="15"/>
    </row>
    <row r="490" spans="1:32" x14ac:dyDescent="0.25">
      <c r="A490" t="str">
        <f t="shared" ca="1" si="22"/>
        <v>20140825-000490--190001000000@LIBRARY.NASHVILLE.ORG</v>
      </c>
      <c r="B490" s="15" t="str">
        <f t="shared" si="24"/>
        <v/>
      </c>
      <c r="D490" s="16" t="str">
        <f t="shared" si="23"/>
        <v/>
      </c>
      <c r="E490" s="21"/>
      <c r="F490" s="7"/>
      <c r="G490" s="19"/>
      <c r="H490" s="17"/>
      <c r="I490" s="1"/>
      <c r="N490" s="1"/>
      <c r="O490" s="1"/>
      <c r="P490" s="18"/>
      <c r="Q490" s="18"/>
      <c r="R490" s="18"/>
      <c r="S490" s="18"/>
      <c r="T490" s="18"/>
      <c r="U490" s="18"/>
      <c r="V490" s="18"/>
      <c r="W490" s="18"/>
      <c r="X490" s="18"/>
      <c r="Y490" s="18"/>
      <c r="Z490" s="18"/>
      <c r="AA490" s="18"/>
      <c r="AB490" s="18"/>
      <c r="AC490" s="18"/>
      <c r="AD490" s="18"/>
      <c r="AE490" s="15"/>
      <c r="AF490" s="15"/>
    </row>
    <row r="491" spans="1:32" x14ac:dyDescent="0.25">
      <c r="A491" t="str">
        <f t="shared" ca="1" si="22"/>
        <v>20140825-000491--190001000000@LIBRARY.NASHVILLE.ORG</v>
      </c>
      <c r="B491" s="15" t="str">
        <f t="shared" si="24"/>
        <v/>
      </c>
      <c r="D491" s="16" t="str">
        <f t="shared" si="23"/>
        <v/>
      </c>
      <c r="E491" s="21"/>
      <c r="F491" s="7"/>
      <c r="G491" s="19"/>
      <c r="H491" s="17"/>
      <c r="I491" s="1"/>
      <c r="N491" s="1"/>
      <c r="O491" s="1"/>
      <c r="P491" s="18"/>
      <c r="Q491" s="18"/>
      <c r="R491" s="18"/>
      <c r="S491" s="18"/>
      <c r="T491" s="18"/>
      <c r="U491" s="18"/>
      <c r="V491" s="18"/>
      <c r="W491" s="18"/>
      <c r="X491" s="18"/>
      <c r="Y491" s="18"/>
      <c r="Z491" s="18"/>
      <c r="AA491" s="18"/>
      <c r="AB491" s="18"/>
      <c r="AC491" s="18"/>
      <c r="AD491" s="18"/>
      <c r="AE491" s="15"/>
      <c r="AF491" s="15"/>
    </row>
    <row r="492" spans="1:32" x14ac:dyDescent="0.25">
      <c r="A492" t="str">
        <f t="shared" ca="1" si="22"/>
        <v>20140825-000492--190001000000@LIBRARY.NASHVILLE.ORG</v>
      </c>
      <c r="B492" s="15" t="str">
        <f t="shared" si="24"/>
        <v/>
      </c>
      <c r="D492" s="16" t="str">
        <f t="shared" si="23"/>
        <v/>
      </c>
      <c r="E492" s="21"/>
      <c r="F492" s="7"/>
      <c r="G492" s="19"/>
      <c r="H492" s="17"/>
      <c r="I492" s="1"/>
      <c r="N492" s="1"/>
      <c r="O492" s="1"/>
      <c r="P492" s="18"/>
      <c r="Q492" s="18"/>
      <c r="R492" s="18"/>
      <c r="S492" s="18"/>
      <c r="T492" s="18"/>
      <c r="U492" s="18"/>
      <c r="V492" s="18"/>
      <c r="W492" s="18"/>
      <c r="X492" s="18"/>
      <c r="Y492" s="18"/>
      <c r="Z492" s="18"/>
      <c r="AA492" s="18"/>
      <c r="AB492" s="18"/>
      <c r="AC492" s="18"/>
      <c r="AD492" s="18"/>
      <c r="AE492" s="15"/>
      <c r="AF492" s="15"/>
    </row>
    <row r="493" spans="1:32" x14ac:dyDescent="0.25">
      <c r="A493" t="str">
        <f t="shared" ca="1" si="22"/>
        <v>20140825-000493--190001000000@LIBRARY.NASHVILLE.ORG</v>
      </c>
      <c r="B493" s="15" t="str">
        <f t="shared" si="24"/>
        <v/>
      </c>
      <c r="D493" s="16" t="str">
        <f t="shared" si="23"/>
        <v/>
      </c>
      <c r="E493" s="21"/>
      <c r="F493" s="7"/>
      <c r="G493" s="19"/>
      <c r="H493" s="17"/>
      <c r="I493" s="1"/>
      <c r="N493" s="1"/>
      <c r="O493" s="1"/>
      <c r="P493" s="18"/>
      <c r="Q493" s="18"/>
      <c r="R493" s="18"/>
      <c r="S493" s="18"/>
      <c r="T493" s="18"/>
      <c r="U493" s="18"/>
      <c r="V493" s="18"/>
      <c r="W493" s="18"/>
      <c r="X493" s="18"/>
      <c r="Y493" s="18"/>
      <c r="Z493" s="18"/>
      <c r="AA493" s="18"/>
      <c r="AB493" s="18"/>
      <c r="AC493" s="18"/>
      <c r="AD493" s="18"/>
      <c r="AE493" s="15"/>
      <c r="AF493" s="15"/>
    </row>
    <row r="494" spans="1:32" x14ac:dyDescent="0.25">
      <c r="A494" t="str">
        <f t="shared" ca="1" si="22"/>
        <v>20140825-000494--190001000000@LIBRARY.NASHVILLE.ORG</v>
      </c>
      <c r="B494" s="15" t="str">
        <f t="shared" si="24"/>
        <v/>
      </c>
      <c r="D494" s="16" t="str">
        <f t="shared" si="23"/>
        <v/>
      </c>
      <c r="E494" s="21"/>
      <c r="F494" s="7"/>
      <c r="G494" s="19"/>
      <c r="H494" s="17"/>
      <c r="I494" s="1"/>
      <c r="N494" s="1"/>
      <c r="O494" s="1"/>
      <c r="P494" s="18"/>
      <c r="Q494" s="18"/>
      <c r="R494" s="18"/>
      <c r="S494" s="18"/>
      <c r="T494" s="18"/>
      <c r="U494" s="18"/>
      <c r="V494" s="18"/>
      <c r="W494" s="18"/>
      <c r="X494" s="18"/>
      <c r="Y494" s="18"/>
      <c r="Z494" s="18"/>
      <c r="AA494" s="18"/>
      <c r="AB494" s="18"/>
      <c r="AC494" s="18"/>
      <c r="AD494" s="18"/>
      <c r="AE494" s="15"/>
      <c r="AF494" s="15"/>
    </row>
    <row r="495" spans="1:32" x14ac:dyDescent="0.25">
      <c r="A495" t="str">
        <f t="shared" ca="1" si="22"/>
        <v>20140825-000495--190001000000@LIBRARY.NASHVILLE.ORG</v>
      </c>
      <c r="B495" s="15" t="str">
        <f t="shared" si="24"/>
        <v/>
      </c>
      <c r="D495" s="16" t="str">
        <f t="shared" si="23"/>
        <v/>
      </c>
      <c r="E495" s="21"/>
      <c r="F495" s="7"/>
      <c r="G495" s="19"/>
      <c r="H495" s="17"/>
      <c r="I495" s="1"/>
      <c r="N495" s="1"/>
      <c r="O495" s="1"/>
      <c r="P495" s="18"/>
      <c r="Q495" s="18"/>
      <c r="R495" s="18"/>
      <c r="S495" s="18"/>
      <c r="T495" s="18"/>
      <c r="U495" s="18"/>
      <c r="V495" s="18"/>
      <c r="W495" s="18"/>
      <c r="X495" s="18"/>
      <c r="Y495" s="18"/>
      <c r="Z495" s="18"/>
      <c r="AA495" s="18"/>
      <c r="AB495" s="18"/>
      <c r="AC495" s="18"/>
      <c r="AD495" s="18"/>
      <c r="AE495" s="15"/>
      <c r="AF495" s="15"/>
    </row>
    <row r="496" spans="1:32" x14ac:dyDescent="0.25">
      <c r="A496" t="str">
        <f t="shared" ca="1" si="22"/>
        <v>20140825-000496--190001000000@LIBRARY.NASHVILLE.ORG</v>
      </c>
      <c r="B496" s="15" t="str">
        <f t="shared" si="24"/>
        <v/>
      </c>
      <c r="D496" s="16" t="str">
        <f t="shared" si="23"/>
        <v/>
      </c>
      <c r="E496" s="21"/>
      <c r="F496" s="7"/>
      <c r="G496" s="19"/>
      <c r="H496" s="17"/>
      <c r="I496" s="1"/>
      <c r="N496" s="1"/>
      <c r="O496" s="1"/>
      <c r="P496" s="18"/>
      <c r="Q496" s="18"/>
      <c r="R496" s="18"/>
      <c r="S496" s="18"/>
      <c r="T496" s="18"/>
      <c r="U496" s="18"/>
      <c r="V496" s="18"/>
      <c r="W496" s="18"/>
      <c r="X496" s="18"/>
      <c r="Y496" s="18"/>
      <c r="Z496" s="18"/>
      <c r="AA496" s="18"/>
      <c r="AB496" s="18"/>
      <c r="AC496" s="18"/>
      <c r="AD496" s="18"/>
      <c r="AE496" s="15"/>
      <c r="AF496" s="15"/>
    </row>
    <row r="497" spans="1:32" x14ac:dyDescent="0.25">
      <c r="A497" t="str">
        <f t="shared" ca="1" si="22"/>
        <v>20140825-000497--190001000000@LIBRARY.NASHVILLE.ORG</v>
      </c>
      <c r="B497" s="15" t="str">
        <f t="shared" si="24"/>
        <v/>
      </c>
      <c r="D497" s="16" t="str">
        <f t="shared" si="23"/>
        <v/>
      </c>
      <c r="E497" s="21"/>
      <c r="F497" s="7"/>
      <c r="G497" s="19"/>
      <c r="H497" s="17"/>
      <c r="I497" s="1"/>
      <c r="N497" s="1"/>
      <c r="O497" s="1"/>
      <c r="P497" s="18"/>
      <c r="Q497" s="18"/>
      <c r="R497" s="18"/>
      <c r="S497" s="18"/>
      <c r="T497" s="18"/>
      <c r="U497" s="18"/>
      <c r="V497" s="18"/>
      <c r="W497" s="18"/>
      <c r="X497" s="18"/>
      <c r="Y497" s="18"/>
      <c r="Z497" s="18"/>
      <c r="AA497" s="18"/>
      <c r="AB497" s="18"/>
      <c r="AC497" s="18"/>
      <c r="AD497" s="18"/>
      <c r="AE497" s="15"/>
      <c r="AF497" s="15"/>
    </row>
    <row r="498" spans="1:32" x14ac:dyDescent="0.25">
      <c r="A498" t="str">
        <f t="shared" ca="1" si="22"/>
        <v>20140825-000498--190001000000@LIBRARY.NASHVILLE.ORG</v>
      </c>
      <c r="B498" s="15" t="str">
        <f t="shared" si="24"/>
        <v/>
      </c>
      <c r="D498" s="16" t="str">
        <f t="shared" si="23"/>
        <v/>
      </c>
      <c r="E498" s="21"/>
      <c r="F498" s="7"/>
      <c r="G498" s="19"/>
      <c r="H498" s="17"/>
      <c r="I498" s="1"/>
      <c r="N498" s="1"/>
      <c r="O498" s="1"/>
      <c r="P498" s="18"/>
      <c r="Q498" s="18"/>
      <c r="R498" s="18"/>
      <c r="S498" s="18"/>
      <c r="T498" s="18"/>
      <c r="U498" s="18"/>
      <c r="V498" s="18"/>
      <c r="W498" s="18"/>
      <c r="X498" s="18"/>
      <c r="Y498" s="18"/>
      <c r="Z498" s="18"/>
      <c r="AA498" s="18"/>
      <c r="AB498" s="18"/>
      <c r="AC498" s="18"/>
      <c r="AD498" s="18"/>
      <c r="AE498" s="15"/>
      <c r="AF498" s="15"/>
    </row>
    <row r="499" spans="1:32" x14ac:dyDescent="0.25">
      <c r="A499" t="str">
        <f t="shared" ca="1" si="22"/>
        <v>20140825-000499--190001000000@LIBRARY.NASHVILLE.ORG</v>
      </c>
      <c r="B499" s="15" t="str">
        <f t="shared" si="24"/>
        <v/>
      </c>
      <c r="D499" s="16" t="str">
        <f t="shared" si="23"/>
        <v/>
      </c>
      <c r="E499" s="21"/>
      <c r="F499" s="7"/>
      <c r="G499" s="19"/>
      <c r="H499" s="17"/>
      <c r="I499" s="1"/>
      <c r="N499" s="1"/>
      <c r="O499" s="1"/>
      <c r="P499" s="18"/>
      <c r="Q499" s="18"/>
      <c r="R499" s="18"/>
      <c r="S499" s="18"/>
      <c r="T499" s="18"/>
      <c r="U499" s="18"/>
      <c r="V499" s="18"/>
      <c r="W499" s="18"/>
      <c r="X499" s="18"/>
      <c r="Y499" s="18"/>
      <c r="Z499" s="18"/>
      <c r="AA499" s="18"/>
      <c r="AB499" s="18"/>
      <c r="AC499" s="18"/>
      <c r="AD499" s="18"/>
      <c r="AE499" s="15"/>
      <c r="AF499" s="15"/>
    </row>
    <row r="500" spans="1:32" x14ac:dyDescent="0.25">
      <c r="A500" t="str">
        <f t="shared" ca="1" si="22"/>
        <v>20140825-000500--190001000000@LIBRARY.NASHVILLE.ORG</v>
      </c>
      <c r="B500" s="15" t="str">
        <f t="shared" si="24"/>
        <v/>
      </c>
      <c r="D500" s="16" t="str">
        <f t="shared" si="23"/>
        <v/>
      </c>
      <c r="E500" s="21"/>
      <c r="F500" s="7"/>
      <c r="G500" s="19"/>
      <c r="H500" s="17"/>
      <c r="I500" s="1"/>
      <c r="N500" s="1"/>
      <c r="O500" s="1"/>
      <c r="P500" s="18"/>
      <c r="Q500" s="18"/>
      <c r="R500" s="18"/>
      <c r="S500" s="18"/>
      <c r="T500" s="18"/>
      <c r="U500" s="18"/>
      <c r="V500" s="18"/>
      <c r="W500" s="18"/>
      <c r="X500" s="18"/>
      <c r="Y500" s="18"/>
      <c r="Z500" s="18"/>
      <c r="AA500" s="18"/>
      <c r="AB500" s="18"/>
      <c r="AC500" s="18"/>
      <c r="AD500" s="18"/>
      <c r="AE500" s="15"/>
      <c r="AF500" s="15"/>
    </row>
    <row r="501" spans="1:32" x14ac:dyDescent="0.25">
      <c r="B501" s="15" t="str">
        <f t="shared" si="24"/>
        <v/>
      </c>
      <c r="D501" s="16" t="str">
        <f t="shared" si="23"/>
        <v/>
      </c>
      <c r="E501" s="21"/>
      <c r="F501" s="7"/>
      <c r="G501" s="19"/>
      <c r="H501" s="17"/>
      <c r="I501" s="1"/>
      <c r="N501" s="1"/>
      <c r="O501" s="1"/>
      <c r="P501" s="18"/>
      <c r="Q501" s="18"/>
      <c r="R501" s="18"/>
      <c r="S501" s="18"/>
      <c r="T501" s="18"/>
      <c r="U501" s="18"/>
      <c r="V501" s="18"/>
      <c r="W501" s="18"/>
      <c r="X501" s="18"/>
      <c r="Y501" s="18"/>
      <c r="Z501" s="18"/>
      <c r="AA501" s="18"/>
      <c r="AB501" s="18"/>
      <c r="AC501" s="18"/>
      <c r="AD501" s="18"/>
      <c r="AE501" s="15"/>
      <c r="AF501" s="15"/>
    </row>
    <row r="502" spans="1:32" x14ac:dyDescent="0.25">
      <c r="B502" s="15" t="str">
        <f t="shared" si="24"/>
        <v/>
      </c>
      <c r="D502" s="16" t="str">
        <f t="shared" si="23"/>
        <v/>
      </c>
      <c r="E502" s="21"/>
      <c r="F502" s="7"/>
      <c r="G502" s="19"/>
      <c r="H502" s="17"/>
      <c r="I502" s="1"/>
      <c r="N502" s="1"/>
      <c r="O502" s="1"/>
      <c r="P502" s="18"/>
      <c r="Q502" s="18"/>
      <c r="R502" s="18"/>
      <c r="S502" s="18"/>
      <c r="T502" s="18"/>
      <c r="U502" s="18"/>
      <c r="V502" s="18"/>
      <c r="W502" s="18"/>
      <c r="X502" s="18"/>
      <c r="Y502" s="18"/>
      <c r="Z502" s="18"/>
      <c r="AA502" s="18"/>
      <c r="AB502" s="18"/>
      <c r="AC502" s="18"/>
      <c r="AD502" s="18"/>
      <c r="AE502" s="15"/>
      <c r="AF502" s="15"/>
    </row>
    <row r="503" spans="1:32" x14ac:dyDescent="0.25">
      <c r="B503" s="15" t="str">
        <f t="shared" si="24"/>
        <v/>
      </c>
      <c r="D503" s="16" t="str">
        <f t="shared" si="23"/>
        <v/>
      </c>
      <c r="E503" s="21"/>
      <c r="F503" s="7"/>
      <c r="G503" s="19"/>
      <c r="H503" s="17"/>
      <c r="I503" s="1"/>
      <c r="N503" s="1"/>
      <c r="O503" s="1"/>
      <c r="P503" s="18"/>
      <c r="Q503" s="18"/>
      <c r="R503" s="18"/>
      <c r="S503" s="18"/>
      <c r="T503" s="18"/>
      <c r="U503" s="18"/>
      <c r="V503" s="18"/>
      <c r="W503" s="18"/>
      <c r="X503" s="18"/>
      <c r="Y503" s="18"/>
      <c r="Z503" s="18"/>
      <c r="AA503" s="18"/>
      <c r="AB503" s="18"/>
      <c r="AC503" s="18"/>
      <c r="AD503" s="18"/>
      <c r="AE503" s="15"/>
      <c r="AF503" s="15"/>
    </row>
    <row r="504" spans="1:32" x14ac:dyDescent="0.25">
      <c r="B504" s="15" t="str">
        <f t="shared" si="24"/>
        <v/>
      </c>
      <c r="D504" s="16" t="str">
        <f t="shared" si="23"/>
        <v/>
      </c>
      <c r="E504" s="21"/>
      <c r="F504" s="7"/>
      <c r="G504" s="19"/>
      <c r="H504" s="17"/>
      <c r="I504" s="1"/>
      <c r="N504" s="1"/>
      <c r="O504" s="1"/>
      <c r="P504" s="18"/>
      <c r="Q504" s="18"/>
      <c r="R504" s="18"/>
      <c r="S504" s="18"/>
      <c r="T504" s="18"/>
      <c r="U504" s="18"/>
      <c r="V504" s="18"/>
      <c r="W504" s="18"/>
      <c r="X504" s="18"/>
      <c r="Y504" s="18"/>
      <c r="Z504" s="18"/>
      <c r="AA504" s="18"/>
      <c r="AB504" s="18"/>
      <c r="AC504" s="18"/>
      <c r="AD504" s="18"/>
      <c r="AE504" s="15"/>
      <c r="AF504" s="15"/>
    </row>
    <row r="505" spans="1:32" x14ac:dyDescent="0.25">
      <c r="B505" s="15" t="str">
        <f t="shared" si="24"/>
        <v/>
      </c>
      <c r="D505" s="16" t="str">
        <f t="shared" si="23"/>
        <v/>
      </c>
      <c r="E505" s="21"/>
      <c r="F505" s="7"/>
      <c r="G505" s="19"/>
      <c r="H505" s="17"/>
      <c r="I505" s="1"/>
      <c r="N505" s="1"/>
      <c r="O505" s="1"/>
      <c r="P505" s="18"/>
      <c r="Q505" s="18"/>
      <c r="R505" s="18"/>
      <c r="S505" s="18"/>
      <c r="T505" s="18"/>
      <c r="U505" s="18"/>
      <c r="V505" s="18"/>
      <c r="W505" s="18"/>
      <c r="X505" s="18"/>
      <c r="Y505" s="18"/>
      <c r="Z505" s="18"/>
      <c r="AA505" s="18"/>
      <c r="AB505" s="18"/>
      <c r="AC505" s="18"/>
      <c r="AD505" s="18"/>
      <c r="AE505" s="15"/>
      <c r="AF505" s="15"/>
    </row>
    <row r="506" spans="1:32" x14ac:dyDescent="0.25">
      <c r="B506" s="15" t="str">
        <f t="shared" si="24"/>
        <v/>
      </c>
      <c r="D506" s="16" t="str">
        <f t="shared" si="23"/>
        <v/>
      </c>
      <c r="E506" s="21"/>
      <c r="F506" s="7"/>
      <c r="G506" s="19"/>
      <c r="H506" s="17"/>
      <c r="I506" s="1"/>
      <c r="N506" s="1"/>
      <c r="O506" s="1"/>
      <c r="P506" s="18"/>
      <c r="Q506" s="18"/>
      <c r="R506" s="18"/>
      <c r="S506" s="18"/>
      <c r="T506" s="18"/>
      <c r="U506" s="18"/>
      <c r="V506" s="18"/>
      <c r="W506" s="18"/>
      <c r="X506" s="18"/>
      <c r="Y506" s="18"/>
      <c r="Z506" s="18"/>
      <c r="AA506" s="18"/>
      <c r="AB506" s="18"/>
      <c r="AC506" s="18"/>
      <c r="AD506" s="18"/>
      <c r="AE506" s="15"/>
      <c r="AF506" s="15"/>
    </row>
    <row r="507" spans="1:32" x14ac:dyDescent="0.25">
      <c r="B507" s="15" t="str">
        <f t="shared" si="24"/>
        <v/>
      </c>
      <c r="D507" s="16" t="str">
        <f t="shared" si="23"/>
        <v/>
      </c>
      <c r="E507" s="21"/>
      <c r="F507" s="7"/>
      <c r="G507" s="19"/>
      <c r="H507" s="17"/>
      <c r="I507" s="1"/>
      <c r="N507" s="1"/>
      <c r="O507" s="1"/>
      <c r="P507" s="18"/>
      <c r="Q507" s="18"/>
      <c r="R507" s="18"/>
      <c r="S507" s="18"/>
      <c r="T507" s="18"/>
      <c r="U507" s="18"/>
      <c r="V507" s="18"/>
      <c r="W507" s="18"/>
      <c r="X507" s="18"/>
      <c r="Y507" s="18"/>
      <c r="Z507" s="18"/>
      <c r="AA507" s="18"/>
      <c r="AB507" s="18"/>
      <c r="AC507" s="18"/>
      <c r="AD507" s="18"/>
      <c r="AE507" s="15"/>
      <c r="AF507" s="15"/>
    </row>
    <row r="508" spans="1:32" x14ac:dyDescent="0.25">
      <c r="B508" s="15" t="str">
        <f t="shared" si="24"/>
        <v/>
      </c>
      <c r="D508" s="16" t="str">
        <f t="shared" si="23"/>
        <v/>
      </c>
      <c r="E508" s="21"/>
      <c r="F508" s="7"/>
      <c r="G508" s="19"/>
      <c r="H508" s="17"/>
      <c r="I508" s="1"/>
      <c r="N508" s="1"/>
      <c r="O508" s="1"/>
      <c r="P508" s="18"/>
      <c r="Q508" s="18"/>
      <c r="R508" s="18"/>
      <c r="S508" s="18"/>
      <c r="T508" s="18"/>
      <c r="U508" s="18"/>
      <c r="V508" s="18"/>
      <c r="W508" s="18"/>
      <c r="X508" s="18"/>
      <c r="Y508" s="18"/>
      <c r="Z508" s="18"/>
      <c r="AA508" s="18"/>
      <c r="AB508" s="18"/>
      <c r="AC508" s="18"/>
      <c r="AD508" s="18"/>
      <c r="AE508" s="15"/>
      <c r="AF508" s="15"/>
    </row>
    <row r="509" spans="1:32" x14ac:dyDescent="0.25">
      <c r="B509" s="15" t="str">
        <f t="shared" si="24"/>
        <v/>
      </c>
      <c r="D509" s="16" t="str">
        <f t="shared" si="23"/>
        <v/>
      </c>
      <c r="E509" s="21"/>
      <c r="F509" s="7"/>
      <c r="G509" s="19"/>
      <c r="H509" s="17"/>
      <c r="I509" s="1"/>
      <c r="N509" s="1"/>
      <c r="O509" s="1"/>
      <c r="P509" s="18"/>
      <c r="Q509" s="18"/>
      <c r="R509" s="18"/>
      <c r="S509" s="18"/>
      <c r="T509" s="18"/>
      <c r="U509" s="18"/>
      <c r="V509" s="18"/>
      <c r="W509" s="18"/>
      <c r="X509" s="18"/>
      <c r="Y509" s="18"/>
      <c r="Z509" s="18"/>
      <c r="AA509" s="18"/>
      <c r="AB509" s="18"/>
      <c r="AC509" s="18"/>
      <c r="AD509" s="18"/>
      <c r="AE509" s="15"/>
      <c r="AF509" s="15"/>
    </row>
    <row r="510" spans="1:32" x14ac:dyDescent="0.25">
      <c r="B510" s="15" t="str">
        <f t="shared" si="24"/>
        <v/>
      </c>
      <c r="D510" s="16" t="str">
        <f t="shared" si="23"/>
        <v/>
      </c>
      <c r="E510" s="21"/>
      <c r="F510" s="7"/>
      <c r="G510" s="19"/>
      <c r="H510" s="17"/>
      <c r="I510" s="1"/>
      <c r="N510" s="1"/>
      <c r="O510" s="1"/>
      <c r="P510" s="18"/>
      <c r="Q510" s="18"/>
      <c r="R510" s="18"/>
      <c r="S510" s="18"/>
      <c r="T510" s="18"/>
      <c r="U510" s="18"/>
      <c r="V510" s="18"/>
      <c r="W510" s="18"/>
      <c r="X510" s="18"/>
      <c r="Y510" s="18"/>
      <c r="Z510" s="18"/>
      <c r="AA510" s="18"/>
      <c r="AB510" s="18"/>
      <c r="AC510" s="18"/>
      <c r="AD510" s="18"/>
      <c r="AE510" s="15"/>
      <c r="AF510" s="15"/>
    </row>
    <row r="511" spans="1:32" x14ac:dyDescent="0.25">
      <c r="B511" s="15" t="str">
        <f t="shared" si="24"/>
        <v/>
      </c>
      <c r="D511" s="16" t="str">
        <f t="shared" si="23"/>
        <v/>
      </c>
      <c r="E511" s="21"/>
      <c r="F511" s="7"/>
      <c r="G511" s="19"/>
      <c r="H511" s="17"/>
      <c r="I511" s="1"/>
      <c r="N511" s="1"/>
      <c r="O511" s="1"/>
      <c r="P511" s="18"/>
      <c r="Q511" s="18"/>
      <c r="R511" s="18"/>
      <c r="S511" s="18"/>
      <c r="T511" s="18"/>
      <c r="U511" s="18"/>
      <c r="V511" s="18"/>
      <c r="W511" s="18"/>
      <c r="X511" s="18"/>
      <c r="Y511" s="18"/>
      <c r="Z511" s="18"/>
      <c r="AA511" s="18"/>
      <c r="AB511" s="18"/>
      <c r="AC511" s="18"/>
      <c r="AD511" s="18"/>
      <c r="AE511" s="15"/>
      <c r="AF511" s="15"/>
    </row>
    <row r="512" spans="1:32" x14ac:dyDescent="0.25">
      <c r="B512" s="15" t="str">
        <f t="shared" si="24"/>
        <v/>
      </c>
      <c r="D512" s="16" t="str">
        <f t="shared" si="23"/>
        <v/>
      </c>
      <c r="E512" s="21"/>
      <c r="F512" s="7"/>
      <c r="G512" s="19"/>
      <c r="H512" s="17"/>
      <c r="I512" s="1"/>
      <c r="N512" s="1"/>
      <c r="O512" s="1"/>
      <c r="P512" s="18"/>
      <c r="Q512" s="18"/>
      <c r="R512" s="18"/>
      <c r="S512" s="18"/>
      <c r="T512" s="18"/>
      <c r="U512" s="18"/>
      <c r="V512" s="18"/>
      <c r="W512" s="18"/>
      <c r="X512" s="18"/>
      <c r="Y512" s="18"/>
      <c r="Z512" s="18"/>
      <c r="AA512" s="18"/>
      <c r="AB512" s="18"/>
      <c r="AC512" s="18"/>
      <c r="AD512" s="18"/>
      <c r="AE512" s="15"/>
      <c r="AF512" s="15"/>
    </row>
    <row r="513" spans="2:32" x14ac:dyDescent="0.25">
      <c r="B513" s="15" t="str">
        <f t="shared" si="24"/>
        <v/>
      </c>
      <c r="D513" s="16" t="str">
        <f t="shared" si="23"/>
        <v/>
      </c>
      <c r="E513" s="21"/>
      <c r="F513" s="7"/>
      <c r="G513" s="19"/>
      <c r="H513" s="17"/>
      <c r="I513" s="1"/>
      <c r="N513" s="1"/>
      <c r="O513" s="1"/>
      <c r="P513" s="18"/>
      <c r="Q513" s="18"/>
      <c r="R513" s="18"/>
      <c r="S513" s="18"/>
      <c r="T513" s="18"/>
      <c r="U513" s="18"/>
      <c r="V513" s="18"/>
      <c r="W513" s="18"/>
      <c r="X513" s="18"/>
      <c r="Y513" s="18"/>
      <c r="Z513" s="18"/>
      <c r="AA513" s="18"/>
      <c r="AB513" s="18"/>
      <c r="AC513" s="18"/>
      <c r="AD513" s="18"/>
      <c r="AE513" s="15"/>
      <c r="AF513" s="15"/>
    </row>
    <row r="514" spans="2:32" x14ac:dyDescent="0.25">
      <c r="B514" s="15" t="str">
        <f t="shared" si="24"/>
        <v/>
      </c>
      <c r="D514" s="16" t="str">
        <f t="shared" si="23"/>
        <v/>
      </c>
      <c r="E514" s="21"/>
      <c r="F514" s="7"/>
      <c r="G514" s="19"/>
      <c r="H514" s="17"/>
      <c r="I514" s="1"/>
      <c r="N514" s="1"/>
      <c r="O514" s="1"/>
      <c r="P514" s="18"/>
      <c r="Q514" s="18"/>
      <c r="R514" s="18"/>
      <c r="S514" s="18"/>
      <c r="T514" s="18"/>
      <c r="U514" s="18"/>
      <c r="V514" s="18"/>
      <c r="W514" s="18"/>
      <c r="X514" s="18"/>
      <c r="Y514" s="18"/>
      <c r="Z514" s="18"/>
      <c r="AA514" s="18"/>
      <c r="AB514" s="18"/>
      <c r="AC514" s="18"/>
      <c r="AD514" s="18"/>
      <c r="AE514" s="15"/>
      <c r="AF514" s="15"/>
    </row>
    <row r="515" spans="2:32" x14ac:dyDescent="0.25">
      <c r="B515" s="15" t="str">
        <f t="shared" si="24"/>
        <v/>
      </c>
      <c r="D515" s="16" t="str">
        <f t="shared" ref="D515:D578" si="25">IF(C515=0,"",TEXT($C515,"dddd"))</f>
        <v/>
      </c>
      <c r="E515" s="21"/>
      <c r="F515" s="7"/>
      <c r="G515" s="19"/>
      <c r="H515" s="17"/>
      <c r="I515" s="1"/>
      <c r="N515" s="1"/>
      <c r="O515" s="1"/>
      <c r="P515" s="18"/>
      <c r="Q515" s="18"/>
      <c r="R515" s="18"/>
      <c r="S515" s="18"/>
      <c r="T515" s="18"/>
      <c r="U515" s="18"/>
      <c r="V515" s="18"/>
      <c r="W515" s="18"/>
      <c r="X515" s="18"/>
      <c r="Y515" s="18"/>
      <c r="Z515" s="18"/>
      <c r="AA515" s="18"/>
      <c r="AB515" s="18"/>
      <c r="AC515" s="18"/>
      <c r="AD515" s="18"/>
      <c r="AE515" s="15"/>
      <c r="AF515" s="15"/>
    </row>
    <row r="516" spans="2:32" x14ac:dyDescent="0.25">
      <c r="B516" s="15" t="str">
        <f t="shared" si="24"/>
        <v/>
      </c>
      <c r="D516" s="16" t="str">
        <f t="shared" si="25"/>
        <v/>
      </c>
      <c r="E516" s="21"/>
      <c r="F516" s="7"/>
      <c r="G516" s="19"/>
      <c r="H516" s="17"/>
      <c r="I516" s="1"/>
      <c r="N516" s="1"/>
      <c r="O516" s="1"/>
      <c r="P516" s="18"/>
      <c r="Q516" s="18"/>
      <c r="R516" s="18"/>
      <c r="S516" s="18"/>
      <c r="T516" s="18"/>
      <c r="U516" s="18"/>
      <c r="V516" s="18"/>
      <c r="W516" s="18"/>
      <c r="X516" s="18"/>
      <c r="Y516" s="18"/>
      <c r="Z516" s="18"/>
      <c r="AA516" s="18"/>
      <c r="AB516" s="18"/>
      <c r="AC516" s="18"/>
      <c r="AD516" s="18"/>
      <c r="AE516" s="15"/>
      <c r="AF516" s="15"/>
    </row>
    <row r="517" spans="2:32" x14ac:dyDescent="0.25">
      <c r="B517" s="15" t="str">
        <f t="shared" si="24"/>
        <v/>
      </c>
      <c r="D517" s="16" t="str">
        <f t="shared" si="25"/>
        <v/>
      </c>
      <c r="E517" s="21"/>
      <c r="F517" s="7"/>
      <c r="G517" s="19"/>
      <c r="H517" s="17"/>
      <c r="I517" s="1"/>
      <c r="N517" s="1"/>
      <c r="O517" s="1"/>
      <c r="P517" s="18"/>
      <c r="Q517" s="18"/>
      <c r="R517" s="18"/>
      <c r="S517" s="18"/>
      <c r="T517" s="18"/>
      <c r="U517" s="18"/>
      <c r="V517" s="18"/>
      <c r="W517" s="18"/>
      <c r="X517" s="18"/>
      <c r="Y517" s="18"/>
      <c r="Z517" s="18"/>
      <c r="AA517" s="18"/>
      <c r="AB517" s="18"/>
      <c r="AC517" s="18"/>
      <c r="AD517" s="18"/>
      <c r="AE517" s="15"/>
      <c r="AF517" s="15"/>
    </row>
    <row r="518" spans="2:32" x14ac:dyDescent="0.25">
      <c r="B518" s="15" t="str">
        <f t="shared" si="24"/>
        <v/>
      </c>
      <c r="D518" s="16" t="str">
        <f t="shared" si="25"/>
        <v/>
      </c>
      <c r="E518" s="21"/>
      <c r="F518" s="7"/>
      <c r="G518" s="19"/>
      <c r="H518" s="17"/>
      <c r="I518" s="1"/>
      <c r="N518" s="1"/>
      <c r="O518" s="1"/>
      <c r="P518" s="18"/>
      <c r="Q518" s="18"/>
      <c r="R518" s="18"/>
      <c r="S518" s="18"/>
      <c r="T518" s="18"/>
      <c r="U518" s="18"/>
      <c r="V518" s="18"/>
      <c r="W518" s="18"/>
      <c r="X518" s="18"/>
      <c r="Y518" s="18"/>
      <c r="Z518" s="18"/>
      <c r="AA518" s="18"/>
      <c r="AB518" s="18"/>
      <c r="AC518" s="18"/>
      <c r="AD518" s="18"/>
      <c r="AE518" s="15"/>
      <c r="AF518" s="15"/>
    </row>
    <row r="519" spans="2:32" x14ac:dyDescent="0.25">
      <c r="B519" s="15" t="str">
        <f t="shared" si="24"/>
        <v/>
      </c>
      <c r="D519" s="16" t="str">
        <f t="shared" si="25"/>
        <v/>
      </c>
      <c r="E519" s="21"/>
      <c r="F519" s="7"/>
      <c r="G519" s="19"/>
      <c r="H519" s="17"/>
      <c r="I519" s="1"/>
      <c r="N519" s="1"/>
      <c r="O519" s="1"/>
      <c r="P519" s="18"/>
      <c r="Q519" s="18"/>
      <c r="R519" s="18"/>
      <c r="S519" s="18"/>
      <c r="T519" s="18"/>
      <c r="U519" s="18"/>
      <c r="V519" s="18"/>
      <c r="W519" s="18"/>
      <c r="X519" s="18"/>
      <c r="Y519" s="18"/>
      <c r="Z519" s="18"/>
      <c r="AA519" s="18"/>
      <c r="AB519" s="18"/>
      <c r="AC519" s="18"/>
      <c r="AD519" s="18"/>
      <c r="AE519" s="15"/>
      <c r="AF519" s="15"/>
    </row>
    <row r="520" spans="2:32" x14ac:dyDescent="0.25">
      <c r="B520" s="15" t="str">
        <f t="shared" si="24"/>
        <v/>
      </c>
      <c r="D520" s="16" t="str">
        <f t="shared" si="25"/>
        <v/>
      </c>
      <c r="E520" s="21"/>
      <c r="F520" s="7"/>
      <c r="G520" s="19"/>
      <c r="H520" s="17"/>
      <c r="I520" s="1"/>
      <c r="N520" s="1"/>
      <c r="O520" s="1"/>
      <c r="P520" s="18"/>
      <c r="Q520" s="18"/>
      <c r="R520" s="18"/>
      <c r="S520" s="18"/>
      <c r="T520" s="18"/>
      <c r="U520" s="18"/>
      <c r="V520" s="18"/>
      <c r="W520" s="18"/>
      <c r="X520" s="18"/>
      <c r="Y520" s="18"/>
      <c r="Z520" s="18"/>
      <c r="AA520" s="18"/>
      <c r="AB520" s="18"/>
      <c r="AC520" s="18"/>
      <c r="AD520" s="18"/>
      <c r="AE520" s="15"/>
      <c r="AF520" s="15"/>
    </row>
    <row r="521" spans="2:32" x14ac:dyDescent="0.25">
      <c r="B521" s="15" t="str">
        <f t="shared" si="24"/>
        <v/>
      </c>
      <c r="D521" s="16" t="str">
        <f t="shared" si="25"/>
        <v/>
      </c>
      <c r="E521" s="21"/>
      <c r="F521" s="7"/>
      <c r="G521" s="19"/>
      <c r="H521" s="17"/>
      <c r="I521" s="1"/>
      <c r="N521" s="1"/>
      <c r="O521" s="1"/>
      <c r="P521" s="18"/>
      <c r="Q521" s="18"/>
      <c r="R521" s="18"/>
      <c r="S521" s="18"/>
      <c r="T521" s="18"/>
      <c r="U521" s="18"/>
      <c r="V521" s="18"/>
      <c r="W521" s="18"/>
      <c r="X521" s="18"/>
      <c r="Y521" s="18"/>
      <c r="Z521" s="18"/>
      <c r="AA521" s="18"/>
      <c r="AB521" s="18"/>
      <c r="AC521" s="18"/>
      <c r="AD521" s="18"/>
      <c r="AE521" s="15"/>
      <c r="AF521" s="15"/>
    </row>
    <row r="522" spans="2:32" x14ac:dyDescent="0.25">
      <c r="B522" s="15" t="str">
        <f t="shared" si="24"/>
        <v/>
      </c>
      <c r="D522" s="16" t="str">
        <f t="shared" si="25"/>
        <v/>
      </c>
      <c r="E522" s="21"/>
      <c r="F522" s="7"/>
      <c r="G522" s="19"/>
      <c r="H522" s="17"/>
      <c r="I522" s="1"/>
      <c r="N522" s="1"/>
      <c r="O522" s="1"/>
      <c r="P522" s="18"/>
      <c r="Q522" s="18"/>
      <c r="R522" s="18"/>
      <c r="S522" s="18"/>
      <c r="T522" s="18"/>
      <c r="U522" s="18"/>
      <c r="V522" s="18"/>
      <c r="W522" s="18"/>
      <c r="X522" s="18"/>
      <c r="Y522" s="18"/>
      <c r="Z522" s="18"/>
      <c r="AA522" s="18"/>
      <c r="AB522" s="18"/>
      <c r="AC522" s="18"/>
      <c r="AD522" s="18"/>
      <c r="AE522" s="15"/>
      <c r="AF522" s="15"/>
    </row>
    <row r="523" spans="2:32" x14ac:dyDescent="0.25">
      <c r="B523" s="15" t="str">
        <f t="shared" si="24"/>
        <v/>
      </c>
      <c r="D523" s="16" t="str">
        <f t="shared" si="25"/>
        <v/>
      </c>
      <c r="E523" s="21"/>
      <c r="F523" s="7"/>
      <c r="G523" s="19"/>
      <c r="H523" s="17"/>
      <c r="I523" s="1"/>
      <c r="N523" s="1"/>
      <c r="O523" s="1"/>
      <c r="P523" s="18"/>
      <c r="Q523" s="18"/>
      <c r="R523" s="18"/>
      <c r="S523" s="18"/>
      <c r="T523" s="18"/>
      <c r="U523" s="18"/>
      <c r="V523" s="18"/>
      <c r="W523" s="18"/>
      <c r="X523" s="18"/>
      <c r="Y523" s="18"/>
      <c r="Z523" s="18"/>
      <c r="AA523" s="18"/>
      <c r="AB523" s="18"/>
      <c r="AC523" s="18"/>
      <c r="AD523" s="18"/>
      <c r="AE523" s="15"/>
      <c r="AF523" s="15"/>
    </row>
    <row r="524" spans="2:32" x14ac:dyDescent="0.25">
      <c r="B524" s="15" t="str">
        <f t="shared" si="24"/>
        <v/>
      </c>
      <c r="D524" s="16" t="str">
        <f t="shared" si="25"/>
        <v/>
      </c>
      <c r="E524" s="21"/>
      <c r="F524" s="7"/>
      <c r="G524" s="19"/>
      <c r="H524" s="17"/>
      <c r="I524" s="1"/>
      <c r="N524" s="1"/>
      <c r="O524" s="1"/>
      <c r="P524" s="18"/>
      <c r="Q524" s="18"/>
      <c r="R524" s="18"/>
      <c r="S524" s="18"/>
      <c r="T524" s="18"/>
      <c r="U524" s="18"/>
      <c r="V524" s="18"/>
      <c r="W524" s="18"/>
      <c r="X524" s="18"/>
      <c r="Y524" s="18"/>
      <c r="Z524" s="18"/>
      <c r="AA524" s="18"/>
      <c r="AB524" s="18"/>
      <c r="AC524" s="18"/>
      <c r="AD524" s="18"/>
      <c r="AE524" s="15"/>
      <c r="AF524" s="15"/>
    </row>
    <row r="525" spans="2:32" x14ac:dyDescent="0.25">
      <c r="B525" s="15" t="str">
        <f t="shared" ref="B525:B588" si="26">IF($B$2=0,"",TEXT($B$2,""))</f>
        <v/>
      </c>
      <c r="D525" s="1" t="str">
        <f t="shared" si="25"/>
        <v/>
      </c>
      <c r="E525" s="21"/>
      <c r="F525" s="7"/>
      <c r="G525" s="19"/>
      <c r="H525" s="17"/>
      <c r="I525" s="1"/>
      <c r="N525" s="1"/>
      <c r="O525" s="1"/>
      <c r="P525" s="18"/>
      <c r="Q525" s="18"/>
      <c r="R525" s="18"/>
      <c r="S525" s="18"/>
      <c r="T525" s="18"/>
      <c r="U525" s="18"/>
      <c r="V525" s="18"/>
      <c r="W525" s="18"/>
      <c r="X525" s="18"/>
      <c r="Y525" s="18"/>
      <c r="Z525" s="18"/>
      <c r="AA525" s="18"/>
      <c r="AB525" s="18"/>
      <c r="AC525" s="18"/>
      <c r="AD525" s="18"/>
      <c r="AE525" s="15"/>
      <c r="AF525" s="15"/>
    </row>
    <row r="526" spans="2:32" x14ac:dyDescent="0.25">
      <c r="B526" s="15" t="str">
        <f t="shared" si="26"/>
        <v/>
      </c>
      <c r="D526" s="1" t="str">
        <f t="shared" si="25"/>
        <v/>
      </c>
      <c r="E526" s="21"/>
      <c r="F526" s="7"/>
      <c r="G526" s="19"/>
      <c r="H526" s="17"/>
      <c r="I526" s="1"/>
      <c r="N526" s="1"/>
      <c r="O526" s="1"/>
      <c r="P526" s="18"/>
      <c r="Q526" s="18"/>
      <c r="R526" s="18"/>
      <c r="S526" s="18"/>
      <c r="T526" s="18"/>
      <c r="U526" s="18"/>
      <c r="V526" s="18"/>
      <c r="W526" s="18"/>
      <c r="X526" s="18"/>
      <c r="Y526" s="18"/>
      <c r="Z526" s="18"/>
      <c r="AA526" s="18"/>
      <c r="AB526" s="18"/>
      <c r="AC526" s="18"/>
      <c r="AD526" s="18"/>
      <c r="AE526" s="15"/>
      <c r="AF526" s="15"/>
    </row>
    <row r="527" spans="2:32" x14ac:dyDescent="0.25">
      <c r="B527" s="15" t="str">
        <f t="shared" si="26"/>
        <v/>
      </c>
      <c r="D527" s="1" t="str">
        <f t="shared" si="25"/>
        <v/>
      </c>
      <c r="E527" s="21"/>
      <c r="F527" s="7"/>
      <c r="G527" s="19"/>
      <c r="H527" s="17"/>
      <c r="I527" s="1"/>
      <c r="N527" s="1"/>
      <c r="O527" s="1"/>
      <c r="P527" s="18"/>
      <c r="Q527" s="18"/>
      <c r="R527" s="18"/>
      <c r="S527" s="18"/>
      <c r="T527" s="18"/>
      <c r="U527" s="18"/>
      <c r="V527" s="18"/>
      <c r="W527" s="18"/>
      <c r="X527" s="18"/>
      <c r="Y527" s="18"/>
      <c r="Z527" s="18"/>
      <c r="AA527" s="18"/>
      <c r="AB527" s="18"/>
      <c r="AC527" s="18"/>
      <c r="AD527" s="18"/>
      <c r="AE527" s="15"/>
      <c r="AF527" s="15"/>
    </row>
    <row r="528" spans="2:32" x14ac:dyDescent="0.25">
      <c r="B528" s="15" t="str">
        <f t="shared" si="26"/>
        <v/>
      </c>
      <c r="D528" s="1" t="str">
        <f t="shared" si="25"/>
        <v/>
      </c>
      <c r="E528" s="21"/>
      <c r="F528" s="7"/>
      <c r="G528" s="19"/>
      <c r="H528" s="17"/>
      <c r="I528" s="1"/>
      <c r="N528" s="1"/>
      <c r="O528" s="1"/>
      <c r="P528" s="18"/>
      <c r="Q528" s="18"/>
      <c r="R528" s="18"/>
      <c r="S528" s="18"/>
      <c r="T528" s="18"/>
      <c r="U528" s="18"/>
      <c r="V528" s="18"/>
      <c r="W528" s="18"/>
      <c r="X528" s="18"/>
      <c r="Y528" s="18"/>
      <c r="Z528" s="18"/>
      <c r="AA528" s="18"/>
      <c r="AB528" s="18"/>
      <c r="AC528" s="18"/>
      <c r="AD528" s="18"/>
      <c r="AE528" s="15"/>
      <c r="AF528" s="15"/>
    </row>
    <row r="529" spans="2:32" x14ac:dyDescent="0.25">
      <c r="B529" s="15" t="str">
        <f t="shared" si="26"/>
        <v/>
      </c>
      <c r="D529" s="1" t="str">
        <f t="shared" si="25"/>
        <v/>
      </c>
      <c r="E529" s="21"/>
      <c r="F529" s="7"/>
      <c r="G529" s="19"/>
      <c r="H529" s="17"/>
      <c r="I529" s="1"/>
      <c r="N529" s="1"/>
      <c r="O529" s="1"/>
      <c r="P529" s="18"/>
      <c r="Q529" s="18"/>
      <c r="R529" s="18"/>
      <c r="S529" s="18"/>
      <c r="T529" s="18"/>
      <c r="U529" s="18"/>
      <c r="V529" s="18"/>
      <c r="W529" s="18"/>
      <c r="X529" s="18"/>
      <c r="Y529" s="18"/>
      <c r="Z529" s="18"/>
      <c r="AA529" s="18"/>
      <c r="AB529" s="18"/>
      <c r="AC529" s="18"/>
      <c r="AD529" s="18"/>
      <c r="AE529" s="15"/>
      <c r="AF529" s="15"/>
    </row>
    <row r="530" spans="2:32" x14ac:dyDescent="0.25">
      <c r="B530" s="15" t="str">
        <f t="shared" si="26"/>
        <v/>
      </c>
      <c r="D530" s="1" t="str">
        <f t="shared" si="25"/>
        <v/>
      </c>
      <c r="E530" s="21"/>
      <c r="F530" s="7"/>
      <c r="G530" s="19"/>
      <c r="H530" s="17"/>
      <c r="I530" s="1"/>
      <c r="N530" s="1"/>
      <c r="O530" s="1"/>
      <c r="P530" s="18"/>
      <c r="Q530" s="18"/>
      <c r="R530" s="18"/>
      <c r="S530" s="18"/>
      <c r="T530" s="18"/>
      <c r="U530" s="18"/>
      <c r="V530" s="18"/>
      <c r="W530" s="18"/>
      <c r="X530" s="18"/>
      <c r="Y530" s="18"/>
      <c r="Z530" s="18"/>
      <c r="AA530" s="18"/>
      <c r="AB530" s="18"/>
      <c r="AC530" s="18"/>
      <c r="AD530" s="18"/>
      <c r="AE530" s="15"/>
      <c r="AF530" s="15"/>
    </row>
    <row r="531" spans="2:32" x14ac:dyDescent="0.25">
      <c r="B531" s="15" t="str">
        <f t="shared" si="26"/>
        <v/>
      </c>
      <c r="D531" s="1" t="str">
        <f t="shared" si="25"/>
        <v/>
      </c>
      <c r="E531" s="21"/>
      <c r="F531" s="7"/>
      <c r="G531" s="19"/>
      <c r="H531" s="17"/>
      <c r="I531" s="1"/>
      <c r="N531" s="1"/>
      <c r="O531" s="1"/>
      <c r="P531" s="18"/>
      <c r="Q531" s="18"/>
      <c r="R531" s="18"/>
      <c r="S531" s="18"/>
      <c r="T531" s="18"/>
      <c r="U531" s="18"/>
      <c r="V531" s="18"/>
      <c r="W531" s="18"/>
      <c r="X531" s="18"/>
      <c r="Y531" s="18"/>
      <c r="Z531" s="18"/>
      <c r="AA531" s="18"/>
      <c r="AB531" s="18"/>
      <c r="AC531" s="18"/>
      <c r="AD531" s="18"/>
      <c r="AE531" s="15"/>
      <c r="AF531" s="15"/>
    </row>
    <row r="532" spans="2:32" x14ac:dyDescent="0.25">
      <c r="B532" s="15" t="str">
        <f t="shared" si="26"/>
        <v/>
      </c>
      <c r="D532" s="1" t="str">
        <f t="shared" si="25"/>
        <v/>
      </c>
      <c r="E532" s="21"/>
      <c r="F532" s="7"/>
      <c r="G532" s="19"/>
      <c r="H532" s="17"/>
      <c r="I532" s="1"/>
      <c r="N532" s="1"/>
      <c r="O532" s="1"/>
      <c r="P532" s="18"/>
      <c r="Q532" s="18"/>
      <c r="R532" s="18"/>
      <c r="S532" s="18"/>
      <c r="T532" s="18"/>
      <c r="U532" s="18"/>
      <c r="V532" s="18"/>
      <c r="W532" s="18"/>
      <c r="X532" s="18"/>
      <c r="Y532" s="18"/>
      <c r="Z532" s="18"/>
      <c r="AA532" s="18"/>
      <c r="AB532" s="18"/>
      <c r="AC532" s="18"/>
      <c r="AD532" s="18"/>
      <c r="AE532" s="15"/>
      <c r="AF532" s="15"/>
    </row>
    <row r="533" spans="2:32" x14ac:dyDescent="0.25">
      <c r="B533" s="15" t="str">
        <f t="shared" si="26"/>
        <v/>
      </c>
      <c r="D533" s="1" t="str">
        <f t="shared" si="25"/>
        <v/>
      </c>
      <c r="E533" s="21"/>
      <c r="F533" s="7"/>
      <c r="G533" s="19"/>
      <c r="H533" s="17"/>
      <c r="I533" s="1"/>
      <c r="N533" s="1"/>
      <c r="O533" s="1"/>
      <c r="P533" s="18"/>
      <c r="Q533" s="18"/>
      <c r="R533" s="18"/>
      <c r="S533" s="18"/>
      <c r="T533" s="18"/>
      <c r="U533" s="18"/>
      <c r="V533" s="18"/>
      <c r="W533" s="18"/>
      <c r="X533" s="18"/>
      <c r="Y533" s="18"/>
      <c r="Z533" s="18"/>
      <c r="AA533" s="18"/>
      <c r="AB533" s="18"/>
      <c r="AC533" s="18"/>
      <c r="AD533" s="18"/>
      <c r="AE533" s="15"/>
      <c r="AF533" s="15"/>
    </row>
    <row r="534" spans="2:32" x14ac:dyDescent="0.25">
      <c r="B534" s="15" t="str">
        <f t="shared" si="26"/>
        <v/>
      </c>
      <c r="D534" s="1" t="str">
        <f t="shared" si="25"/>
        <v/>
      </c>
      <c r="E534" s="21"/>
      <c r="F534" s="7"/>
      <c r="G534" s="19"/>
      <c r="H534" s="17"/>
      <c r="I534" s="1"/>
      <c r="N534" s="1"/>
      <c r="O534" s="1"/>
      <c r="P534" s="18"/>
      <c r="Q534" s="18"/>
      <c r="R534" s="18"/>
      <c r="S534" s="18"/>
      <c r="T534" s="18"/>
      <c r="U534" s="18"/>
      <c r="V534" s="18"/>
      <c r="W534" s="18"/>
      <c r="X534" s="18"/>
      <c r="Y534" s="18"/>
      <c r="Z534" s="18"/>
      <c r="AA534" s="18"/>
      <c r="AB534" s="18"/>
      <c r="AC534" s="18"/>
      <c r="AD534" s="18"/>
      <c r="AE534" s="15"/>
      <c r="AF534" s="15"/>
    </row>
    <row r="535" spans="2:32" x14ac:dyDescent="0.25">
      <c r="B535" s="15" t="str">
        <f t="shared" si="26"/>
        <v/>
      </c>
      <c r="D535" s="1" t="str">
        <f t="shared" si="25"/>
        <v/>
      </c>
      <c r="E535" s="21"/>
      <c r="F535" s="7"/>
      <c r="G535" s="19"/>
      <c r="H535" s="17"/>
      <c r="I535" s="1"/>
      <c r="N535" s="1"/>
      <c r="O535" s="1"/>
      <c r="P535" s="18"/>
      <c r="Q535" s="18"/>
      <c r="R535" s="18"/>
      <c r="S535" s="18"/>
      <c r="T535" s="18"/>
      <c r="U535" s="18"/>
      <c r="V535" s="18"/>
      <c r="W535" s="18"/>
      <c r="X535" s="18"/>
      <c r="Y535" s="18"/>
      <c r="Z535" s="18"/>
      <c r="AA535" s="18"/>
      <c r="AB535" s="18"/>
      <c r="AC535" s="18"/>
      <c r="AD535" s="18"/>
      <c r="AE535" s="15"/>
      <c r="AF535" s="15"/>
    </row>
    <row r="536" spans="2:32" x14ac:dyDescent="0.25">
      <c r="B536" s="15" t="str">
        <f t="shared" si="26"/>
        <v/>
      </c>
      <c r="D536" s="1" t="str">
        <f t="shared" si="25"/>
        <v/>
      </c>
      <c r="E536" s="21"/>
      <c r="F536" s="7"/>
      <c r="G536" s="19"/>
      <c r="H536" s="17"/>
      <c r="I536" s="1"/>
      <c r="N536" s="1"/>
      <c r="O536" s="1"/>
      <c r="P536" s="18"/>
      <c r="Q536" s="18"/>
      <c r="R536" s="18"/>
      <c r="S536" s="18"/>
      <c r="T536" s="18"/>
      <c r="U536" s="18"/>
      <c r="V536" s="18"/>
      <c r="W536" s="18"/>
      <c r="X536" s="18"/>
      <c r="Y536" s="18"/>
      <c r="Z536" s="18"/>
      <c r="AA536" s="18"/>
      <c r="AB536" s="18"/>
      <c r="AC536" s="18"/>
      <c r="AD536" s="18"/>
      <c r="AE536" s="15"/>
      <c r="AF536" s="15"/>
    </row>
    <row r="537" spans="2:32" x14ac:dyDescent="0.25">
      <c r="B537" s="15" t="str">
        <f t="shared" si="26"/>
        <v/>
      </c>
      <c r="D537" s="1" t="str">
        <f t="shared" si="25"/>
        <v/>
      </c>
      <c r="E537" s="21"/>
      <c r="F537" s="7"/>
      <c r="G537" s="19"/>
      <c r="H537" s="17"/>
      <c r="I537" s="1"/>
      <c r="N537" s="1"/>
      <c r="O537" s="1"/>
      <c r="P537" s="18"/>
      <c r="Q537" s="18"/>
      <c r="R537" s="18"/>
      <c r="S537" s="18"/>
      <c r="T537" s="18"/>
      <c r="U537" s="18"/>
      <c r="V537" s="18"/>
      <c r="W537" s="18"/>
      <c r="X537" s="18"/>
      <c r="Y537" s="18"/>
      <c r="Z537" s="18"/>
      <c r="AA537" s="18"/>
      <c r="AB537" s="18"/>
      <c r="AC537" s="18"/>
      <c r="AD537" s="18"/>
      <c r="AE537" s="15"/>
      <c r="AF537" s="15"/>
    </row>
    <row r="538" spans="2:32" x14ac:dyDescent="0.25">
      <c r="B538" s="15" t="str">
        <f t="shared" si="26"/>
        <v/>
      </c>
      <c r="D538" s="1" t="str">
        <f t="shared" si="25"/>
        <v/>
      </c>
      <c r="E538" s="21"/>
      <c r="F538" s="7"/>
      <c r="G538" s="19"/>
      <c r="H538" s="17"/>
      <c r="I538" s="1"/>
      <c r="N538" s="1"/>
      <c r="O538" s="1"/>
      <c r="P538" s="18"/>
      <c r="Q538" s="18"/>
      <c r="R538" s="18"/>
      <c r="S538" s="18"/>
      <c r="T538" s="18"/>
      <c r="U538" s="18"/>
      <c r="V538" s="18"/>
      <c r="W538" s="18"/>
      <c r="X538" s="18"/>
      <c r="Y538" s="18"/>
      <c r="Z538" s="18"/>
      <c r="AA538" s="18"/>
      <c r="AB538" s="18"/>
      <c r="AC538" s="18"/>
      <c r="AD538" s="18"/>
      <c r="AE538" s="15"/>
      <c r="AF538" s="15"/>
    </row>
    <row r="539" spans="2:32" x14ac:dyDescent="0.25">
      <c r="B539" s="15" t="str">
        <f t="shared" si="26"/>
        <v/>
      </c>
      <c r="D539" s="1" t="str">
        <f t="shared" si="25"/>
        <v/>
      </c>
      <c r="E539" s="21"/>
      <c r="F539" s="7"/>
      <c r="G539" s="19"/>
      <c r="H539" s="17"/>
      <c r="I539" s="1"/>
      <c r="N539" s="1"/>
      <c r="O539" s="1"/>
      <c r="P539" s="18"/>
      <c r="Q539" s="18"/>
      <c r="R539" s="18"/>
      <c r="S539" s="18"/>
      <c r="T539" s="18"/>
      <c r="U539" s="18"/>
      <c r="V539" s="18"/>
      <c r="W539" s="18"/>
      <c r="X539" s="18"/>
      <c r="Y539" s="18"/>
      <c r="Z539" s="18"/>
      <c r="AA539" s="18"/>
      <c r="AB539" s="18"/>
      <c r="AC539" s="18"/>
      <c r="AD539" s="18"/>
      <c r="AE539" s="15"/>
      <c r="AF539" s="15"/>
    </row>
    <row r="540" spans="2:32" x14ac:dyDescent="0.25">
      <c r="B540" s="15" t="str">
        <f t="shared" si="26"/>
        <v/>
      </c>
      <c r="D540" s="1" t="str">
        <f t="shared" si="25"/>
        <v/>
      </c>
      <c r="E540" s="21"/>
      <c r="F540" s="7"/>
      <c r="G540" s="19"/>
      <c r="H540" s="17"/>
      <c r="I540" s="1"/>
      <c r="N540" s="1"/>
      <c r="O540" s="1"/>
      <c r="P540" s="18"/>
      <c r="Q540" s="18"/>
      <c r="R540" s="18"/>
      <c r="S540" s="18"/>
      <c r="T540" s="18"/>
      <c r="U540" s="18"/>
      <c r="V540" s="18"/>
      <c r="W540" s="18"/>
      <c r="X540" s="18"/>
      <c r="Y540" s="18"/>
      <c r="Z540" s="18"/>
      <c r="AA540" s="18"/>
      <c r="AB540" s="18"/>
      <c r="AC540" s="18"/>
      <c r="AD540" s="18"/>
      <c r="AE540" s="15"/>
      <c r="AF540" s="15"/>
    </row>
    <row r="541" spans="2:32" x14ac:dyDescent="0.25">
      <c r="B541" s="15" t="str">
        <f t="shared" si="26"/>
        <v/>
      </c>
      <c r="D541" s="1" t="str">
        <f t="shared" si="25"/>
        <v/>
      </c>
      <c r="E541" s="21"/>
      <c r="F541" s="7"/>
      <c r="G541" s="19"/>
      <c r="H541" s="17"/>
      <c r="I541" s="1"/>
      <c r="N541" s="1"/>
      <c r="O541" s="1"/>
      <c r="P541" s="18"/>
      <c r="Q541" s="18"/>
      <c r="R541" s="18"/>
      <c r="S541" s="18"/>
      <c r="T541" s="18"/>
      <c r="U541" s="18"/>
      <c r="V541" s="18"/>
      <c r="W541" s="18"/>
      <c r="X541" s="18"/>
      <c r="Y541" s="18"/>
      <c r="Z541" s="18"/>
      <c r="AA541" s="18"/>
      <c r="AB541" s="18"/>
      <c r="AC541" s="18"/>
      <c r="AD541" s="18"/>
      <c r="AE541" s="15"/>
      <c r="AF541" s="15"/>
    </row>
    <row r="542" spans="2:32" x14ac:dyDescent="0.25">
      <c r="B542" s="15" t="str">
        <f t="shared" si="26"/>
        <v/>
      </c>
      <c r="D542" s="1" t="str">
        <f t="shared" si="25"/>
        <v/>
      </c>
      <c r="E542" s="21"/>
      <c r="F542" s="7"/>
      <c r="G542" s="19"/>
      <c r="H542" s="17"/>
      <c r="I542" s="1"/>
      <c r="N542" s="1"/>
      <c r="O542" s="1"/>
      <c r="P542" s="18"/>
      <c r="Q542" s="18"/>
      <c r="R542" s="18"/>
      <c r="S542" s="18"/>
      <c r="T542" s="18"/>
      <c r="U542" s="18"/>
      <c r="V542" s="18"/>
      <c r="W542" s="18"/>
      <c r="X542" s="18"/>
      <c r="Y542" s="18"/>
      <c r="Z542" s="18"/>
      <c r="AA542" s="18"/>
      <c r="AB542" s="18"/>
      <c r="AC542" s="18"/>
      <c r="AD542" s="18"/>
      <c r="AE542" s="15"/>
      <c r="AF542" s="15"/>
    </row>
    <row r="543" spans="2:32" x14ac:dyDescent="0.25">
      <c r="B543" s="15" t="str">
        <f t="shared" si="26"/>
        <v/>
      </c>
      <c r="D543" s="1" t="str">
        <f t="shared" si="25"/>
        <v/>
      </c>
      <c r="E543" s="21"/>
      <c r="F543" s="7"/>
      <c r="G543" s="19"/>
      <c r="H543" s="17"/>
      <c r="I543" s="1"/>
      <c r="N543" s="1"/>
      <c r="O543" s="1"/>
      <c r="P543" s="18"/>
      <c r="Q543" s="18"/>
      <c r="R543" s="18"/>
      <c r="S543" s="18"/>
      <c r="T543" s="18"/>
      <c r="U543" s="18"/>
      <c r="V543" s="18"/>
      <c r="W543" s="18"/>
      <c r="X543" s="18"/>
      <c r="Y543" s="18"/>
      <c r="Z543" s="18"/>
      <c r="AA543" s="18"/>
      <c r="AB543" s="18"/>
      <c r="AC543" s="18"/>
      <c r="AD543" s="18"/>
      <c r="AE543" s="15"/>
      <c r="AF543" s="15"/>
    </row>
    <row r="544" spans="2:32" x14ac:dyDescent="0.25">
      <c r="B544" s="15" t="str">
        <f t="shared" si="26"/>
        <v/>
      </c>
      <c r="D544" s="1" t="str">
        <f t="shared" si="25"/>
        <v/>
      </c>
      <c r="E544" s="21"/>
      <c r="F544" s="7"/>
      <c r="G544" s="19"/>
      <c r="H544" s="17"/>
      <c r="I544" s="1"/>
      <c r="N544" s="1"/>
      <c r="O544" s="1"/>
      <c r="P544" s="18"/>
      <c r="Q544" s="18"/>
      <c r="R544" s="18"/>
      <c r="S544" s="18"/>
      <c r="T544" s="18"/>
      <c r="U544" s="18"/>
      <c r="V544" s="18"/>
      <c r="W544" s="18"/>
      <c r="X544" s="18"/>
      <c r="Y544" s="18"/>
      <c r="Z544" s="18"/>
      <c r="AA544" s="18"/>
      <c r="AB544" s="18"/>
      <c r="AC544" s="18"/>
      <c r="AD544" s="18"/>
      <c r="AE544" s="15"/>
      <c r="AF544" s="15"/>
    </row>
    <row r="545" spans="2:32" x14ac:dyDescent="0.25">
      <c r="B545" s="15" t="str">
        <f t="shared" si="26"/>
        <v/>
      </c>
      <c r="D545" s="1" t="str">
        <f t="shared" si="25"/>
        <v/>
      </c>
      <c r="E545" s="21"/>
      <c r="F545" s="7"/>
      <c r="G545" s="19"/>
      <c r="H545" s="17"/>
      <c r="I545" s="1"/>
      <c r="N545" s="1"/>
      <c r="O545" s="1"/>
      <c r="P545" s="18"/>
      <c r="Q545" s="18"/>
      <c r="R545" s="18"/>
      <c r="S545" s="18"/>
      <c r="T545" s="18"/>
      <c r="U545" s="18"/>
      <c r="V545" s="18"/>
      <c r="W545" s="18"/>
      <c r="X545" s="18"/>
      <c r="Y545" s="18"/>
      <c r="Z545" s="18"/>
      <c r="AA545" s="18"/>
      <c r="AB545" s="18"/>
      <c r="AC545" s="18"/>
      <c r="AD545" s="18"/>
      <c r="AE545" s="15"/>
      <c r="AF545" s="15"/>
    </row>
    <row r="546" spans="2:32" x14ac:dyDescent="0.25">
      <c r="B546" s="15" t="str">
        <f t="shared" si="26"/>
        <v/>
      </c>
      <c r="D546" s="1" t="str">
        <f t="shared" si="25"/>
        <v/>
      </c>
      <c r="E546" s="21"/>
      <c r="F546" s="7"/>
      <c r="G546" s="19"/>
      <c r="H546" s="17"/>
      <c r="I546" s="1"/>
      <c r="N546" s="1"/>
      <c r="O546" s="1"/>
      <c r="P546" s="18"/>
      <c r="Q546" s="18"/>
      <c r="R546" s="18"/>
      <c r="S546" s="18"/>
      <c r="T546" s="18"/>
      <c r="U546" s="18"/>
      <c r="V546" s="18"/>
      <c r="W546" s="18"/>
      <c r="X546" s="18"/>
      <c r="Y546" s="18"/>
      <c r="Z546" s="18"/>
      <c r="AA546" s="18"/>
      <c r="AB546" s="18"/>
      <c r="AC546" s="18"/>
      <c r="AD546" s="18"/>
      <c r="AE546" s="15"/>
      <c r="AF546" s="15"/>
    </row>
    <row r="547" spans="2:32" x14ac:dyDescent="0.25">
      <c r="B547" s="15" t="str">
        <f t="shared" si="26"/>
        <v/>
      </c>
      <c r="D547" s="1" t="str">
        <f t="shared" si="25"/>
        <v/>
      </c>
      <c r="E547" s="21"/>
      <c r="F547" s="7"/>
      <c r="G547" s="19"/>
      <c r="H547" s="17"/>
      <c r="I547" s="1"/>
      <c r="N547" s="1"/>
      <c r="O547" s="1"/>
      <c r="P547" s="18"/>
      <c r="Q547" s="18"/>
      <c r="R547" s="18"/>
      <c r="S547" s="18"/>
      <c r="T547" s="18"/>
      <c r="U547" s="18"/>
      <c r="V547" s="18"/>
      <c r="W547" s="18"/>
      <c r="X547" s="18"/>
      <c r="Y547" s="18"/>
      <c r="Z547" s="18"/>
      <c r="AA547" s="18"/>
      <c r="AB547" s="18"/>
      <c r="AC547" s="18"/>
      <c r="AD547" s="18"/>
      <c r="AE547" s="15"/>
      <c r="AF547" s="15"/>
    </row>
    <row r="548" spans="2:32" x14ac:dyDescent="0.25">
      <c r="B548" s="15" t="str">
        <f t="shared" si="26"/>
        <v/>
      </c>
      <c r="D548" s="1" t="str">
        <f t="shared" si="25"/>
        <v/>
      </c>
      <c r="E548" s="21"/>
      <c r="F548" s="7"/>
      <c r="G548" s="19"/>
      <c r="H548" s="17"/>
      <c r="I548" s="1"/>
      <c r="N548" s="1"/>
      <c r="O548" s="1"/>
      <c r="P548" s="18"/>
      <c r="Q548" s="18"/>
      <c r="R548" s="18"/>
      <c r="S548" s="18"/>
      <c r="T548" s="18"/>
      <c r="U548" s="18"/>
      <c r="V548" s="18"/>
      <c r="W548" s="18"/>
      <c r="X548" s="18"/>
      <c r="Y548" s="18"/>
      <c r="Z548" s="18"/>
      <c r="AA548" s="18"/>
      <c r="AB548" s="18"/>
      <c r="AC548" s="18"/>
      <c r="AD548" s="18"/>
      <c r="AE548" s="15"/>
      <c r="AF548" s="15"/>
    </row>
    <row r="549" spans="2:32" x14ac:dyDescent="0.25">
      <c r="B549" s="15" t="str">
        <f t="shared" si="26"/>
        <v/>
      </c>
      <c r="D549" s="1" t="str">
        <f t="shared" si="25"/>
        <v/>
      </c>
      <c r="E549" s="21"/>
      <c r="F549" s="7"/>
      <c r="G549" s="19"/>
      <c r="H549" s="17"/>
      <c r="I549" s="1"/>
      <c r="N549" s="1"/>
      <c r="O549" s="1"/>
      <c r="P549" s="18"/>
      <c r="Q549" s="18"/>
      <c r="R549" s="18"/>
      <c r="S549" s="18"/>
      <c r="T549" s="18"/>
      <c r="U549" s="18"/>
      <c r="V549" s="18"/>
      <c r="W549" s="18"/>
      <c r="X549" s="18"/>
      <c r="Y549" s="18"/>
      <c r="Z549" s="18"/>
      <c r="AA549" s="18"/>
      <c r="AB549" s="18"/>
      <c r="AC549" s="18"/>
      <c r="AD549" s="18"/>
      <c r="AE549" s="15"/>
      <c r="AF549" s="15"/>
    </row>
    <row r="550" spans="2:32" x14ac:dyDescent="0.25">
      <c r="B550" s="15" t="str">
        <f t="shared" si="26"/>
        <v/>
      </c>
      <c r="D550" s="1" t="str">
        <f t="shared" si="25"/>
        <v/>
      </c>
      <c r="E550" s="21"/>
      <c r="F550" s="7"/>
      <c r="G550" s="19"/>
      <c r="H550" s="17"/>
      <c r="I550" s="1"/>
      <c r="N550" s="1"/>
      <c r="O550" s="1"/>
      <c r="P550" s="18"/>
      <c r="Q550" s="18"/>
      <c r="R550" s="18"/>
      <c r="S550" s="18"/>
      <c r="T550" s="18"/>
      <c r="U550" s="18"/>
      <c r="V550" s="18"/>
      <c r="W550" s="18"/>
      <c r="X550" s="18"/>
      <c r="Y550" s="18"/>
      <c r="Z550" s="18"/>
      <c r="AA550" s="18"/>
      <c r="AB550" s="18"/>
      <c r="AC550" s="18"/>
      <c r="AD550" s="18"/>
      <c r="AE550" s="15"/>
      <c r="AF550" s="15"/>
    </row>
    <row r="551" spans="2:32" x14ac:dyDescent="0.25">
      <c r="B551" s="15" t="str">
        <f t="shared" si="26"/>
        <v/>
      </c>
      <c r="D551" s="1" t="str">
        <f t="shared" si="25"/>
        <v/>
      </c>
      <c r="E551" s="21"/>
      <c r="F551" s="7"/>
      <c r="G551" s="19"/>
      <c r="H551" s="17"/>
      <c r="I551" s="1"/>
      <c r="N551" s="1"/>
      <c r="O551" s="1"/>
      <c r="P551" s="18"/>
      <c r="Q551" s="18"/>
      <c r="R551" s="18"/>
      <c r="S551" s="18"/>
      <c r="T551" s="18"/>
      <c r="U551" s="18"/>
      <c r="V551" s="18"/>
      <c r="W551" s="18"/>
      <c r="X551" s="18"/>
      <c r="Y551" s="18"/>
      <c r="Z551" s="18"/>
      <c r="AA551" s="18"/>
      <c r="AB551" s="18"/>
      <c r="AC551" s="18"/>
      <c r="AD551" s="18"/>
      <c r="AE551" s="15"/>
      <c r="AF551" s="15"/>
    </row>
    <row r="552" spans="2:32" x14ac:dyDescent="0.25">
      <c r="B552" s="15" t="str">
        <f t="shared" si="26"/>
        <v/>
      </c>
      <c r="D552" s="1" t="str">
        <f t="shared" si="25"/>
        <v/>
      </c>
      <c r="E552" s="21"/>
      <c r="F552" s="7"/>
      <c r="G552" s="19"/>
      <c r="H552" s="17"/>
      <c r="I552" s="1"/>
      <c r="N552" s="1"/>
      <c r="O552" s="1"/>
      <c r="P552" s="18"/>
      <c r="Q552" s="18"/>
      <c r="R552" s="18"/>
      <c r="S552" s="18"/>
      <c r="T552" s="18"/>
      <c r="U552" s="18"/>
      <c r="V552" s="18"/>
      <c r="W552" s="18"/>
      <c r="X552" s="18"/>
      <c r="Y552" s="18"/>
      <c r="Z552" s="18"/>
      <c r="AA552" s="18"/>
      <c r="AB552" s="18"/>
      <c r="AC552" s="18"/>
      <c r="AD552" s="18"/>
      <c r="AE552" s="15"/>
      <c r="AF552" s="15"/>
    </row>
    <row r="553" spans="2:32" x14ac:dyDescent="0.25">
      <c r="B553" s="15" t="str">
        <f t="shared" si="26"/>
        <v/>
      </c>
      <c r="D553" s="1" t="str">
        <f t="shared" si="25"/>
        <v/>
      </c>
      <c r="E553" s="21"/>
      <c r="F553" s="7"/>
      <c r="G553" s="19"/>
      <c r="H553" s="17"/>
      <c r="I553" s="1"/>
      <c r="N553" s="1"/>
      <c r="O553" s="1"/>
      <c r="P553" s="18"/>
      <c r="Q553" s="18"/>
      <c r="R553" s="18"/>
      <c r="S553" s="18"/>
      <c r="T553" s="18"/>
      <c r="U553" s="18"/>
      <c r="V553" s="18"/>
      <c r="W553" s="18"/>
      <c r="X553" s="18"/>
      <c r="Y553" s="18"/>
      <c r="Z553" s="18"/>
      <c r="AA553" s="18"/>
      <c r="AB553" s="18"/>
      <c r="AC553" s="18"/>
      <c r="AD553" s="18"/>
      <c r="AE553" s="15"/>
      <c r="AF553" s="15"/>
    </row>
    <row r="554" spans="2:32" x14ac:dyDescent="0.25">
      <c r="B554" s="15" t="str">
        <f t="shared" si="26"/>
        <v/>
      </c>
      <c r="D554" s="1" t="str">
        <f t="shared" si="25"/>
        <v/>
      </c>
      <c r="E554" s="21"/>
      <c r="F554" s="7"/>
      <c r="G554" s="19"/>
      <c r="H554" s="17"/>
      <c r="I554" s="1"/>
      <c r="N554" s="1"/>
      <c r="O554" s="1"/>
      <c r="P554" s="18"/>
      <c r="Q554" s="18"/>
      <c r="R554" s="18"/>
      <c r="S554" s="18"/>
      <c r="T554" s="18"/>
      <c r="U554" s="18"/>
      <c r="V554" s="18"/>
      <c r="W554" s="18"/>
      <c r="X554" s="18"/>
      <c r="Y554" s="18"/>
      <c r="Z554" s="18"/>
      <c r="AA554" s="18"/>
      <c r="AB554" s="18"/>
      <c r="AC554" s="18"/>
      <c r="AD554" s="18"/>
      <c r="AE554" s="15"/>
      <c r="AF554" s="15"/>
    </row>
    <row r="555" spans="2:32" x14ac:dyDescent="0.25">
      <c r="B555" s="15" t="str">
        <f t="shared" si="26"/>
        <v/>
      </c>
      <c r="D555" s="1" t="str">
        <f t="shared" si="25"/>
        <v/>
      </c>
      <c r="E555" s="21"/>
      <c r="F555" s="7"/>
      <c r="G555" s="19"/>
      <c r="H555" s="17"/>
      <c r="I555" s="1"/>
      <c r="N555" s="1"/>
      <c r="O555" s="1"/>
      <c r="P555" s="18"/>
      <c r="Q555" s="18"/>
      <c r="R555" s="18"/>
      <c r="S555" s="18"/>
      <c r="T555" s="18"/>
      <c r="U555" s="18"/>
      <c r="V555" s="18"/>
      <c r="W555" s="18"/>
      <c r="X555" s="18"/>
      <c r="Y555" s="18"/>
      <c r="Z555" s="18"/>
      <c r="AA555" s="18"/>
      <c r="AB555" s="18"/>
      <c r="AC555" s="18"/>
      <c r="AD555" s="18"/>
      <c r="AE555" s="15"/>
      <c r="AF555" s="15"/>
    </row>
    <row r="556" spans="2:32" x14ac:dyDescent="0.25">
      <c r="B556" s="15" t="str">
        <f t="shared" si="26"/>
        <v/>
      </c>
      <c r="D556" s="1" t="str">
        <f t="shared" si="25"/>
        <v/>
      </c>
      <c r="E556" s="21"/>
      <c r="F556" s="7"/>
      <c r="G556" s="19"/>
      <c r="H556" s="17"/>
      <c r="I556" s="1"/>
      <c r="N556" s="1"/>
      <c r="O556" s="1"/>
      <c r="P556" s="18"/>
      <c r="Q556" s="18"/>
      <c r="R556" s="18"/>
      <c r="S556" s="18"/>
      <c r="T556" s="18"/>
      <c r="U556" s="18"/>
      <c r="V556" s="18"/>
      <c r="W556" s="18"/>
      <c r="X556" s="18"/>
      <c r="Y556" s="18"/>
      <c r="Z556" s="18"/>
      <c r="AA556" s="18"/>
      <c r="AB556" s="18"/>
      <c r="AC556" s="18"/>
      <c r="AD556" s="18"/>
      <c r="AE556" s="15"/>
      <c r="AF556" s="15"/>
    </row>
    <row r="557" spans="2:32" x14ac:dyDescent="0.25">
      <c r="B557" s="15" t="str">
        <f t="shared" si="26"/>
        <v/>
      </c>
      <c r="D557" s="1" t="str">
        <f t="shared" si="25"/>
        <v/>
      </c>
      <c r="E557" s="21"/>
      <c r="F557" s="7"/>
      <c r="G557" s="19"/>
      <c r="H557" s="17"/>
      <c r="I557" s="1"/>
      <c r="N557" s="1"/>
      <c r="O557" s="1"/>
      <c r="P557" s="18"/>
      <c r="Q557" s="18"/>
      <c r="R557" s="18"/>
      <c r="S557" s="18"/>
      <c r="T557" s="18"/>
      <c r="U557" s="18"/>
      <c r="V557" s="18"/>
      <c r="W557" s="18"/>
      <c r="X557" s="18"/>
      <c r="Y557" s="18"/>
      <c r="Z557" s="18"/>
      <c r="AA557" s="18"/>
      <c r="AB557" s="18"/>
      <c r="AC557" s="18"/>
      <c r="AD557" s="18"/>
      <c r="AE557" s="15"/>
      <c r="AF557" s="15"/>
    </row>
    <row r="558" spans="2:32" x14ac:dyDescent="0.25">
      <c r="B558" s="15" t="str">
        <f t="shared" si="26"/>
        <v/>
      </c>
      <c r="D558" s="1" t="str">
        <f t="shared" si="25"/>
        <v/>
      </c>
      <c r="E558" s="21"/>
      <c r="F558" s="7"/>
      <c r="G558" s="19"/>
      <c r="H558" s="17"/>
      <c r="I558" s="1"/>
      <c r="N558" s="1"/>
      <c r="O558" s="1"/>
      <c r="P558" s="18"/>
      <c r="Q558" s="18"/>
      <c r="R558" s="18"/>
      <c r="S558" s="18"/>
      <c r="T558" s="18"/>
      <c r="U558" s="18"/>
      <c r="V558" s="18"/>
      <c r="W558" s="18"/>
      <c r="X558" s="18"/>
      <c r="Y558" s="18"/>
      <c r="Z558" s="18"/>
      <c r="AA558" s="18"/>
      <c r="AB558" s="18"/>
      <c r="AC558" s="18"/>
      <c r="AD558" s="18"/>
      <c r="AE558" s="15"/>
      <c r="AF558" s="15"/>
    </row>
    <row r="559" spans="2:32" x14ac:dyDescent="0.25">
      <c r="B559" s="15" t="str">
        <f t="shared" si="26"/>
        <v/>
      </c>
      <c r="D559" s="1" t="str">
        <f t="shared" si="25"/>
        <v/>
      </c>
      <c r="E559" s="21"/>
      <c r="F559" s="7"/>
      <c r="G559" s="19"/>
      <c r="H559" s="17"/>
      <c r="I559" s="1"/>
      <c r="N559" s="1"/>
      <c r="O559" s="1"/>
      <c r="P559" s="18"/>
      <c r="Q559" s="18"/>
      <c r="R559" s="18"/>
      <c r="S559" s="18"/>
      <c r="T559" s="18"/>
      <c r="U559" s="18"/>
      <c r="V559" s="18"/>
      <c r="W559" s="18"/>
      <c r="X559" s="18"/>
      <c r="Y559" s="18"/>
      <c r="Z559" s="18"/>
      <c r="AA559" s="18"/>
      <c r="AB559" s="18"/>
      <c r="AC559" s="18"/>
      <c r="AD559" s="18"/>
      <c r="AE559" s="15"/>
      <c r="AF559" s="15"/>
    </row>
    <row r="560" spans="2:32" x14ac:dyDescent="0.25">
      <c r="B560" s="15" t="str">
        <f t="shared" si="26"/>
        <v/>
      </c>
      <c r="D560" s="1" t="str">
        <f t="shared" si="25"/>
        <v/>
      </c>
      <c r="E560" s="21"/>
      <c r="F560" s="7"/>
      <c r="G560" s="19"/>
      <c r="H560" s="17"/>
      <c r="I560" s="1"/>
      <c r="N560" s="1"/>
      <c r="O560" s="1"/>
      <c r="P560" s="18"/>
      <c r="Q560" s="18"/>
      <c r="R560" s="18"/>
      <c r="S560" s="18"/>
      <c r="T560" s="18"/>
      <c r="U560" s="18"/>
      <c r="V560" s="18"/>
      <c r="W560" s="18"/>
      <c r="X560" s="18"/>
      <c r="Y560" s="18"/>
      <c r="Z560" s="18"/>
      <c r="AA560" s="18"/>
      <c r="AB560" s="18"/>
      <c r="AC560" s="18"/>
      <c r="AD560" s="18"/>
      <c r="AE560" s="15"/>
      <c r="AF560" s="15"/>
    </row>
    <row r="561" spans="2:32" x14ac:dyDescent="0.25">
      <c r="B561" s="15" t="str">
        <f t="shared" si="26"/>
        <v/>
      </c>
      <c r="D561" s="1" t="str">
        <f t="shared" si="25"/>
        <v/>
      </c>
      <c r="E561" s="21"/>
      <c r="F561" s="7"/>
      <c r="G561" s="19"/>
      <c r="H561" s="17"/>
      <c r="I561" s="1"/>
      <c r="N561" s="1"/>
      <c r="O561" s="1"/>
      <c r="P561" s="18"/>
      <c r="Q561" s="18"/>
      <c r="R561" s="18"/>
      <c r="S561" s="18"/>
      <c r="T561" s="18"/>
      <c r="U561" s="18"/>
      <c r="V561" s="18"/>
      <c r="W561" s="18"/>
      <c r="X561" s="18"/>
      <c r="Y561" s="18"/>
      <c r="Z561" s="18"/>
      <c r="AA561" s="18"/>
      <c r="AB561" s="18"/>
      <c r="AC561" s="18"/>
      <c r="AD561" s="18"/>
      <c r="AE561" s="15"/>
      <c r="AF561" s="15"/>
    </row>
    <row r="562" spans="2:32" x14ac:dyDescent="0.25">
      <c r="B562" s="15" t="str">
        <f t="shared" si="26"/>
        <v/>
      </c>
      <c r="D562" s="1" t="str">
        <f t="shared" si="25"/>
        <v/>
      </c>
      <c r="E562" s="21"/>
      <c r="F562" s="7"/>
      <c r="G562" s="19"/>
      <c r="H562" s="17"/>
      <c r="I562" s="1"/>
      <c r="N562" s="1"/>
      <c r="O562" s="1"/>
      <c r="P562" s="18"/>
      <c r="Q562" s="18"/>
      <c r="R562" s="18"/>
      <c r="S562" s="18"/>
      <c r="T562" s="18"/>
      <c r="U562" s="18"/>
      <c r="V562" s="18"/>
      <c r="W562" s="18"/>
      <c r="X562" s="18"/>
      <c r="Y562" s="18"/>
      <c r="Z562" s="18"/>
      <c r="AA562" s="18"/>
      <c r="AB562" s="18"/>
      <c r="AC562" s="18"/>
      <c r="AD562" s="18"/>
      <c r="AE562" s="15"/>
      <c r="AF562" s="15"/>
    </row>
    <row r="563" spans="2:32" x14ac:dyDescent="0.25">
      <c r="B563" s="15" t="str">
        <f t="shared" si="26"/>
        <v/>
      </c>
      <c r="D563" s="1" t="str">
        <f t="shared" si="25"/>
        <v/>
      </c>
      <c r="E563" s="21"/>
      <c r="F563" s="7"/>
      <c r="G563" s="19"/>
      <c r="H563" s="17"/>
      <c r="I563" s="1"/>
      <c r="N563" s="1"/>
      <c r="O563" s="1"/>
      <c r="P563" s="18"/>
      <c r="Q563" s="18"/>
      <c r="R563" s="18"/>
      <c r="S563" s="18"/>
      <c r="T563" s="18"/>
      <c r="U563" s="18"/>
      <c r="V563" s="18"/>
      <c r="W563" s="18"/>
      <c r="X563" s="18"/>
      <c r="Y563" s="18"/>
      <c r="Z563" s="18"/>
      <c r="AA563" s="18"/>
      <c r="AB563" s="18"/>
      <c r="AC563" s="18"/>
      <c r="AD563" s="18"/>
      <c r="AE563" s="15"/>
      <c r="AF563" s="15"/>
    </row>
    <row r="564" spans="2:32" x14ac:dyDescent="0.25">
      <c r="B564" s="15" t="str">
        <f t="shared" si="26"/>
        <v/>
      </c>
      <c r="D564" s="1" t="str">
        <f t="shared" si="25"/>
        <v/>
      </c>
      <c r="E564" s="21"/>
      <c r="F564" s="7"/>
      <c r="G564" s="19"/>
      <c r="H564" s="17"/>
      <c r="I564" s="1"/>
      <c r="N564" s="1"/>
      <c r="O564" s="1"/>
      <c r="P564" s="18"/>
      <c r="Q564" s="18"/>
      <c r="R564" s="18"/>
      <c r="S564" s="18"/>
      <c r="T564" s="18"/>
      <c r="U564" s="18"/>
      <c r="V564" s="18"/>
      <c r="W564" s="18"/>
      <c r="X564" s="18"/>
      <c r="Y564" s="18"/>
      <c r="Z564" s="18"/>
      <c r="AA564" s="18"/>
      <c r="AB564" s="18"/>
      <c r="AC564" s="18"/>
      <c r="AD564" s="18"/>
      <c r="AE564" s="15"/>
      <c r="AF564" s="15"/>
    </row>
    <row r="565" spans="2:32" x14ac:dyDescent="0.25">
      <c r="B565" s="15" t="str">
        <f t="shared" si="26"/>
        <v/>
      </c>
      <c r="D565" s="1" t="str">
        <f t="shared" si="25"/>
        <v/>
      </c>
      <c r="E565" s="21"/>
      <c r="F565" s="7"/>
      <c r="G565" s="19"/>
      <c r="H565" s="17"/>
      <c r="I565" s="1"/>
      <c r="N565" s="1"/>
      <c r="O565" s="1"/>
      <c r="P565" s="18"/>
      <c r="Q565" s="18"/>
      <c r="R565" s="18"/>
      <c r="S565" s="18"/>
      <c r="T565" s="18"/>
      <c r="U565" s="18"/>
      <c r="V565" s="18"/>
      <c r="W565" s="18"/>
      <c r="X565" s="18"/>
      <c r="Y565" s="18"/>
      <c r="Z565" s="18"/>
      <c r="AA565" s="18"/>
      <c r="AB565" s="18"/>
      <c r="AC565" s="18"/>
      <c r="AD565" s="18"/>
      <c r="AE565" s="15"/>
      <c r="AF565" s="15"/>
    </row>
    <row r="566" spans="2:32" x14ac:dyDescent="0.25">
      <c r="B566" s="15" t="str">
        <f t="shared" si="26"/>
        <v/>
      </c>
      <c r="D566" s="1" t="str">
        <f t="shared" si="25"/>
        <v/>
      </c>
      <c r="E566" s="21"/>
      <c r="F566" s="7"/>
      <c r="G566" s="19"/>
      <c r="H566" s="17"/>
      <c r="I566" s="1"/>
      <c r="N566" s="1"/>
      <c r="O566" s="1"/>
      <c r="P566" s="18"/>
      <c r="Q566" s="18"/>
      <c r="R566" s="18"/>
      <c r="S566" s="18"/>
      <c r="T566" s="18"/>
      <c r="U566" s="18"/>
      <c r="V566" s="18"/>
      <c r="W566" s="18"/>
      <c r="X566" s="18"/>
      <c r="Y566" s="18"/>
      <c r="Z566" s="18"/>
      <c r="AA566" s="18"/>
      <c r="AB566" s="18"/>
      <c r="AC566" s="18"/>
      <c r="AD566" s="18"/>
      <c r="AE566" s="15"/>
      <c r="AF566" s="15"/>
    </row>
    <row r="567" spans="2:32" x14ac:dyDescent="0.25">
      <c r="B567" s="15" t="str">
        <f t="shared" si="26"/>
        <v/>
      </c>
      <c r="D567" s="1" t="str">
        <f t="shared" si="25"/>
        <v/>
      </c>
      <c r="E567" s="21"/>
      <c r="F567" s="7"/>
      <c r="G567" s="19"/>
      <c r="H567" s="17"/>
      <c r="I567" s="1"/>
      <c r="N567" s="1"/>
      <c r="O567" s="1"/>
      <c r="P567" s="18"/>
      <c r="Q567" s="18"/>
      <c r="R567" s="18"/>
      <c r="S567" s="18"/>
      <c r="T567" s="18"/>
      <c r="U567" s="18"/>
      <c r="V567" s="18"/>
      <c r="W567" s="18"/>
      <c r="X567" s="18"/>
      <c r="Y567" s="18"/>
      <c r="Z567" s="18"/>
      <c r="AA567" s="18"/>
      <c r="AB567" s="18"/>
      <c r="AC567" s="18"/>
      <c r="AD567" s="18"/>
      <c r="AE567" s="15"/>
      <c r="AF567" s="15"/>
    </row>
    <row r="568" spans="2:32" x14ac:dyDescent="0.25">
      <c r="B568" s="15" t="str">
        <f t="shared" si="26"/>
        <v/>
      </c>
      <c r="D568" s="1" t="str">
        <f t="shared" si="25"/>
        <v/>
      </c>
      <c r="E568" s="21"/>
      <c r="F568" s="7"/>
      <c r="G568" s="19"/>
      <c r="H568" s="17"/>
      <c r="I568" s="1"/>
      <c r="N568" s="1"/>
      <c r="O568" s="1"/>
      <c r="P568" s="18"/>
      <c r="Q568" s="18"/>
      <c r="R568" s="18"/>
      <c r="S568" s="18"/>
      <c r="T568" s="18"/>
      <c r="U568" s="18"/>
      <c r="V568" s="18"/>
      <c r="W568" s="18"/>
      <c r="X568" s="18"/>
      <c r="Y568" s="18"/>
      <c r="Z568" s="18"/>
      <c r="AA568" s="18"/>
      <c r="AB568" s="18"/>
      <c r="AC568" s="18"/>
      <c r="AD568" s="18"/>
      <c r="AE568" s="15"/>
      <c r="AF568" s="15"/>
    </row>
    <row r="569" spans="2:32" x14ac:dyDescent="0.25">
      <c r="B569" s="15" t="str">
        <f t="shared" si="26"/>
        <v/>
      </c>
      <c r="D569" s="1" t="str">
        <f t="shared" si="25"/>
        <v/>
      </c>
      <c r="E569" s="21"/>
      <c r="F569" s="7"/>
      <c r="G569" s="19"/>
      <c r="H569" s="17"/>
      <c r="I569" s="1"/>
      <c r="N569" s="1"/>
      <c r="O569" s="1"/>
      <c r="P569" s="18"/>
      <c r="Q569" s="18"/>
      <c r="R569" s="18"/>
      <c r="S569" s="18"/>
      <c r="T569" s="18"/>
      <c r="U569" s="18"/>
      <c r="V569" s="18"/>
      <c r="W569" s="18"/>
      <c r="X569" s="18"/>
      <c r="Y569" s="18"/>
      <c r="Z569" s="18"/>
      <c r="AA569" s="18"/>
      <c r="AB569" s="18"/>
      <c r="AC569" s="18"/>
      <c r="AD569" s="18"/>
      <c r="AE569" s="15"/>
      <c r="AF569" s="15"/>
    </row>
    <row r="570" spans="2:32" x14ac:dyDescent="0.25">
      <c r="B570" s="15" t="str">
        <f t="shared" si="26"/>
        <v/>
      </c>
      <c r="D570" s="1" t="str">
        <f t="shared" si="25"/>
        <v/>
      </c>
      <c r="E570" s="21"/>
      <c r="F570" s="7"/>
      <c r="G570" s="19"/>
      <c r="H570" s="17"/>
      <c r="I570" s="1"/>
      <c r="N570" s="1"/>
      <c r="O570" s="1"/>
      <c r="P570" s="18"/>
      <c r="Q570" s="18"/>
      <c r="R570" s="18"/>
      <c r="S570" s="18"/>
      <c r="T570" s="18"/>
      <c r="U570" s="18"/>
      <c r="V570" s="18"/>
      <c r="W570" s="18"/>
      <c r="X570" s="18"/>
      <c r="Y570" s="18"/>
      <c r="Z570" s="18"/>
      <c r="AA570" s="18"/>
      <c r="AB570" s="18"/>
      <c r="AC570" s="18"/>
      <c r="AD570" s="18"/>
      <c r="AE570" s="15"/>
      <c r="AF570" s="15"/>
    </row>
    <row r="571" spans="2:32" x14ac:dyDescent="0.25">
      <c r="B571" s="15" t="str">
        <f t="shared" si="26"/>
        <v/>
      </c>
      <c r="D571" s="1" t="str">
        <f t="shared" si="25"/>
        <v/>
      </c>
      <c r="E571" s="21"/>
      <c r="F571" s="7"/>
      <c r="G571" s="19"/>
      <c r="H571" s="17"/>
      <c r="I571" s="1"/>
      <c r="N571" s="1"/>
      <c r="O571" s="1"/>
      <c r="P571" s="18"/>
      <c r="Q571" s="18"/>
      <c r="R571" s="18"/>
      <c r="S571" s="18"/>
      <c r="T571" s="18"/>
      <c r="U571" s="18"/>
      <c r="V571" s="18"/>
      <c r="W571" s="18"/>
      <c r="X571" s="18"/>
      <c r="Y571" s="18"/>
      <c r="Z571" s="18"/>
      <c r="AA571" s="18"/>
      <c r="AB571" s="18"/>
      <c r="AC571" s="18"/>
      <c r="AD571" s="18"/>
      <c r="AE571" s="15"/>
      <c r="AF571" s="15"/>
    </row>
    <row r="572" spans="2:32" x14ac:dyDescent="0.25">
      <c r="B572" s="15" t="str">
        <f t="shared" si="26"/>
        <v/>
      </c>
      <c r="D572" s="1" t="str">
        <f t="shared" si="25"/>
        <v/>
      </c>
      <c r="E572" s="21"/>
      <c r="F572" s="7"/>
      <c r="G572" s="19"/>
      <c r="H572" s="17"/>
      <c r="I572" s="1"/>
      <c r="N572" s="1"/>
      <c r="O572" s="1"/>
      <c r="P572" s="18"/>
      <c r="Q572" s="18"/>
      <c r="R572" s="18"/>
      <c r="S572" s="18"/>
      <c r="T572" s="18"/>
      <c r="U572" s="18"/>
      <c r="V572" s="18"/>
      <c r="W572" s="18"/>
      <c r="X572" s="18"/>
      <c r="Y572" s="18"/>
      <c r="Z572" s="18"/>
      <c r="AA572" s="18"/>
      <c r="AB572" s="18"/>
      <c r="AC572" s="18"/>
      <c r="AD572" s="18"/>
      <c r="AE572" s="15"/>
      <c r="AF572" s="15"/>
    </row>
    <row r="573" spans="2:32" x14ac:dyDescent="0.25">
      <c r="B573" s="15" t="str">
        <f t="shared" si="26"/>
        <v/>
      </c>
      <c r="D573" s="1" t="str">
        <f t="shared" si="25"/>
        <v/>
      </c>
      <c r="E573" s="21"/>
      <c r="F573" s="7"/>
      <c r="G573" s="19"/>
      <c r="H573" s="17"/>
      <c r="I573" s="1"/>
      <c r="N573" s="1"/>
      <c r="O573" s="1"/>
      <c r="P573" s="18"/>
      <c r="Q573" s="18"/>
      <c r="R573" s="18"/>
      <c r="S573" s="18"/>
      <c r="T573" s="18"/>
      <c r="U573" s="18"/>
      <c r="V573" s="18"/>
      <c r="W573" s="18"/>
      <c r="X573" s="18"/>
      <c r="Y573" s="18"/>
      <c r="Z573" s="18"/>
      <c r="AA573" s="18"/>
      <c r="AB573" s="18"/>
      <c r="AC573" s="18"/>
      <c r="AD573" s="18"/>
      <c r="AE573" s="15"/>
      <c r="AF573" s="15"/>
    </row>
    <row r="574" spans="2:32" x14ac:dyDescent="0.25">
      <c r="B574" s="15" t="str">
        <f t="shared" si="26"/>
        <v/>
      </c>
      <c r="D574" s="1" t="str">
        <f t="shared" si="25"/>
        <v/>
      </c>
      <c r="E574" s="21"/>
      <c r="F574" s="7"/>
      <c r="G574" s="19"/>
      <c r="H574" s="17"/>
      <c r="I574" s="1"/>
      <c r="N574" s="1"/>
      <c r="O574" s="1"/>
      <c r="P574" s="18"/>
      <c r="Q574" s="18"/>
      <c r="R574" s="18"/>
      <c r="S574" s="18"/>
      <c r="T574" s="18"/>
      <c r="U574" s="18"/>
      <c r="V574" s="18"/>
      <c r="W574" s="18"/>
      <c r="X574" s="18"/>
      <c r="Y574" s="18"/>
      <c r="Z574" s="18"/>
      <c r="AA574" s="18"/>
      <c r="AB574" s="18"/>
      <c r="AC574" s="18"/>
      <c r="AD574" s="18"/>
      <c r="AE574" s="15"/>
      <c r="AF574" s="15"/>
    </row>
    <row r="575" spans="2:32" x14ac:dyDescent="0.25">
      <c r="B575" s="15" t="str">
        <f t="shared" si="26"/>
        <v/>
      </c>
      <c r="D575" s="1" t="str">
        <f t="shared" si="25"/>
        <v/>
      </c>
      <c r="E575" s="21"/>
      <c r="F575" s="7"/>
      <c r="G575" s="19"/>
      <c r="H575" s="17"/>
      <c r="I575" s="1"/>
      <c r="N575" s="1"/>
      <c r="O575" s="1"/>
      <c r="P575" s="18"/>
      <c r="Q575" s="18"/>
      <c r="R575" s="18"/>
      <c r="S575" s="18"/>
      <c r="T575" s="18"/>
      <c r="U575" s="18"/>
      <c r="V575" s="18"/>
      <c r="W575" s="18"/>
      <c r="X575" s="18"/>
      <c r="Y575" s="18"/>
      <c r="Z575" s="18"/>
      <c r="AA575" s="18"/>
      <c r="AB575" s="18"/>
      <c r="AC575" s="18"/>
      <c r="AD575" s="18"/>
      <c r="AE575" s="15"/>
      <c r="AF575" s="15"/>
    </row>
    <row r="576" spans="2:32" x14ac:dyDescent="0.25">
      <c r="B576" s="15" t="str">
        <f t="shared" si="26"/>
        <v/>
      </c>
      <c r="D576" s="1" t="str">
        <f t="shared" si="25"/>
        <v/>
      </c>
      <c r="E576" s="21"/>
      <c r="F576" s="7"/>
      <c r="G576" s="19"/>
      <c r="H576" s="17"/>
      <c r="I576" s="1"/>
      <c r="N576" s="1"/>
      <c r="O576" s="1"/>
      <c r="P576" s="18"/>
      <c r="Q576" s="18"/>
      <c r="R576" s="18"/>
      <c r="S576" s="18"/>
      <c r="T576" s="18"/>
      <c r="U576" s="18"/>
      <c r="V576" s="18"/>
      <c r="W576" s="18"/>
      <c r="X576" s="18"/>
      <c r="Y576" s="18"/>
      <c r="Z576" s="18"/>
      <c r="AA576" s="18"/>
      <c r="AB576" s="18"/>
      <c r="AC576" s="18"/>
      <c r="AD576" s="18"/>
      <c r="AE576" s="15"/>
      <c r="AF576" s="15"/>
    </row>
    <row r="577" spans="2:32" x14ac:dyDescent="0.25">
      <c r="B577" s="15" t="str">
        <f t="shared" si="26"/>
        <v/>
      </c>
      <c r="D577" s="1" t="str">
        <f t="shared" si="25"/>
        <v/>
      </c>
      <c r="E577" s="21"/>
      <c r="F577" s="7"/>
      <c r="G577" s="19"/>
      <c r="H577" s="17"/>
      <c r="I577" s="1"/>
      <c r="N577" s="1"/>
      <c r="O577" s="1"/>
      <c r="P577" s="18"/>
      <c r="Q577" s="18"/>
      <c r="R577" s="18"/>
      <c r="S577" s="18"/>
      <c r="T577" s="18"/>
      <c r="U577" s="18"/>
      <c r="V577" s="18"/>
      <c r="W577" s="18"/>
      <c r="X577" s="18"/>
      <c r="Y577" s="18"/>
      <c r="Z577" s="18"/>
      <c r="AA577" s="18"/>
      <c r="AB577" s="18"/>
      <c r="AC577" s="18"/>
      <c r="AD577" s="18"/>
      <c r="AE577" s="15"/>
      <c r="AF577" s="15"/>
    </row>
    <row r="578" spans="2:32" x14ac:dyDescent="0.25">
      <c r="B578" s="15" t="str">
        <f t="shared" si="26"/>
        <v/>
      </c>
      <c r="D578" s="1" t="str">
        <f t="shared" si="25"/>
        <v/>
      </c>
      <c r="E578" s="21"/>
      <c r="F578" s="7"/>
      <c r="G578" s="19"/>
      <c r="H578" s="17"/>
      <c r="I578" s="1"/>
      <c r="N578" s="1"/>
      <c r="O578" s="1"/>
      <c r="P578" s="18"/>
      <c r="Q578" s="18"/>
      <c r="R578" s="18"/>
      <c r="S578" s="18"/>
      <c r="T578" s="18"/>
      <c r="U578" s="18"/>
      <c r="V578" s="18"/>
      <c r="W578" s="18"/>
      <c r="X578" s="18"/>
      <c r="Y578" s="18"/>
      <c r="Z578" s="18"/>
      <c r="AA578" s="18"/>
      <c r="AB578" s="18"/>
      <c r="AC578" s="18"/>
      <c r="AD578" s="18"/>
      <c r="AE578" s="15"/>
      <c r="AF578" s="15"/>
    </row>
    <row r="579" spans="2:32" x14ac:dyDescent="0.25">
      <c r="B579" s="15" t="str">
        <f t="shared" si="26"/>
        <v/>
      </c>
      <c r="D579" s="1" t="str">
        <f t="shared" ref="D579:D642" si="27">IF(C579=0,"",TEXT($C579,"dddd"))</f>
        <v/>
      </c>
      <c r="E579" s="21"/>
      <c r="F579" s="7"/>
      <c r="G579" s="19"/>
      <c r="H579" s="17"/>
      <c r="I579" s="1"/>
      <c r="N579" s="1"/>
      <c r="O579" s="1"/>
      <c r="P579" s="18"/>
      <c r="Q579" s="18"/>
      <c r="R579" s="18"/>
      <c r="S579" s="18"/>
      <c r="T579" s="18"/>
      <c r="U579" s="18"/>
      <c r="V579" s="18"/>
      <c r="W579" s="18"/>
      <c r="X579" s="18"/>
      <c r="Y579" s="18"/>
      <c r="Z579" s="18"/>
      <c r="AA579" s="18"/>
      <c r="AB579" s="18"/>
      <c r="AC579" s="18"/>
      <c r="AD579" s="18"/>
      <c r="AE579" s="15"/>
      <c r="AF579" s="15"/>
    </row>
    <row r="580" spans="2:32" x14ac:dyDescent="0.25">
      <c r="B580" s="15" t="str">
        <f t="shared" si="26"/>
        <v/>
      </c>
      <c r="D580" s="1" t="str">
        <f t="shared" si="27"/>
        <v/>
      </c>
      <c r="E580" s="21"/>
      <c r="F580" s="7"/>
      <c r="G580" s="19"/>
      <c r="H580" s="17"/>
      <c r="I580" s="1"/>
      <c r="N580" s="1"/>
      <c r="O580" s="1"/>
      <c r="P580" s="18"/>
      <c r="Q580" s="18"/>
      <c r="R580" s="18"/>
      <c r="S580" s="18"/>
      <c r="T580" s="18"/>
      <c r="U580" s="18"/>
      <c r="V580" s="18"/>
      <c r="W580" s="18"/>
      <c r="X580" s="18"/>
      <c r="Y580" s="18"/>
      <c r="Z580" s="18"/>
      <c r="AA580" s="18"/>
      <c r="AB580" s="18"/>
      <c r="AC580" s="18"/>
      <c r="AD580" s="18"/>
      <c r="AE580" s="15"/>
      <c r="AF580" s="15"/>
    </row>
    <row r="581" spans="2:32" x14ac:dyDescent="0.25">
      <c r="B581" s="15" t="str">
        <f t="shared" si="26"/>
        <v/>
      </c>
      <c r="D581" s="1" t="str">
        <f t="shared" si="27"/>
        <v/>
      </c>
      <c r="E581" s="21"/>
      <c r="F581" s="7"/>
      <c r="G581" s="19"/>
      <c r="H581" s="17"/>
      <c r="I581" s="1"/>
      <c r="N581" s="1"/>
      <c r="O581" s="1"/>
      <c r="P581" s="18"/>
      <c r="Q581" s="18"/>
      <c r="R581" s="18"/>
      <c r="S581" s="18"/>
      <c r="T581" s="18"/>
      <c r="U581" s="18"/>
      <c r="V581" s="18"/>
      <c r="W581" s="18"/>
      <c r="X581" s="18"/>
      <c r="Y581" s="18"/>
      <c r="Z581" s="18"/>
      <c r="AA581" s="18"/>
      <c r="AB581" s="18"/>
      <c r="AC581" s="18"/>
      <c r="AD581" s="18"/>
      <c r="AE581" s="15"/>
      <c r="AF581" s="15"/>
    </row>
    <row r="582" spans="2:32" x14ac:dyDescent="0.25">
      <c r="B582" s="15" t="str">
        <f t="shared" si="26"/>
        <v/>
      </c>
      <c r="D582" s="1" t="str">
        <f t="shared" si="27"/>
        <v/>
      </c>
      <c r="E582" s="21"/>
      <c r="F582" s="7"/>
      <c r="G582" s="19"/>
      <c r="H582" s="17"/>
      <c r="I582" s="1"/>
      <c r="N582" s="1"/>
      <c r="O582" s="1"/>
      <c r="P582" s="18"/>
      <c r="Q582" s="18"/>
      <c r="R582" s="18"/>
      <c r="S582" s="18"/>
      <c r="T582" s="18"/>
      <c r="U582" s="18"/>
      <c r="V582" s="18"/>
      <c r="W582" s="18"/>
      <c r="X582" s="18"/>
      <c r="Y582" s="18"/>
      <c r="Z582" s="18"/>
      <c r="AA582" s="18"/>
      <c r="AB582" s="18"/>
      <c r="AC582" s="18"/>
      <c r="AD582" s="18"/>
      <c r="AE582" s="15"/>
      <c r="AF582" s="15"/>
    </row>
    <row r="583" spans="2:32" x14ac:dyDescent="0.25">
      <c r="B583" s="15" t="str">
        <f t="shared" si="26"/>
        <v/>
      </c>
      <c r="D583" s="1" t="str">
        <f t="shared" si="27"/>
        <v/>
      </c>
      <c r="E583" s="21"/>
      <c r="F583" s="7"/>
      <c r="G583" s="19"/>
      <c r="H583" s="17"/>
      <c r="I583" s="1"/>
      <c r="N583" s="1"/>
      <c r="O583" s="1"/>
      <c r="P583" s="18"/>
      <c r="Q583" s="18"/>
      <c r="R583" s="18"/>
      <c r="S583" s="18"/>
      <c r="T583" s="18"/>
      <c r="U583" s="18"/>
      <c r="V583" s="18"/>
      <c r="W583" s="18"/>
      <c r="X583" s="18"/>
      <c r="Y583" s="18"/>
      <c r="Z583" s="18"/>
      <c r="AA583" s="18"/>
      <c r="AB583" s="18"/>
      <c r="AC583" s="18"/>
      <c r="AD583" s="18"/>
      <c r="AE583" s="15"/>
      <c r="AF583" s="15"/>
    </row>
    <row r="584" spans="2:32" x14ac:dyDescent="0.25">
      <c r="B584" s="15" t="str">
        <f t="shared" si="26"/>
        <v/>
      </c>
      <c r="D584" s="1" t="str">
        <f t="shared" si="27"/>
        <v/>
      </c>
      <c r="E584" s="21"/>
      <c r="F584" s="7"/>
      <c r="G584" s="19"/>
      <c r="H584" s="17"/>
      <c r="I584" s="1"/>
      <c r="N584" s="1"/>
      <c r="O584" s="1"/>
      <c r="P584" s="18"/>
      <c r="Q584" s="18"/>
      <c r="R584" s="18"/>
      <c r="S584" s="18"/>
      <c r="T584" s="18"/>
      <c r="U584" s="18"/>
      <c r="V584" s="18"/>
      <c r="W584" s="18"/>
      <c r="X584" s="18"/>
      <c r="Y584" s="18"/>
      <c r="Z584" s="18"/>
      <c r="AA584" s="18"/>
      <c r="AB584" s="18"/>
      <c r="AC584" s="18"/>
      <c r="AD584" s="18"/>
      <c r="AE584" s="15"/>
      <c r="AF584" s="15"/>
    </row>
    <row r="585" spans="2:32" x14ac:dyDescent="0.25">
      <c r="B585" s="15" t="str">
        <f t="shared" si="26"/>
        <v/>
      </c>
      <c r="D585" s="1" t="str">
        <f t="shared" si="27"/>
        <v/>
      </c>
      <c r="E585" s="21"/>
      <c r="F585" s="7"/>
      <c r="G585" s="19"/>
      <c r="H585" s="17"/>
      <c r="I585" s="1"/>
      <c r="N585" s="1"/>
      <c r="O585" s="1"/>
      <c r="P585" s="18"/>
      <c r="Q585" s="18"/>
      <c r="R585" s="18"/>
      <c r="S585" s="18"/>
      <c r="T585" s="18"/>
      <c r="U585" s="18"/>
      <c r="V585" s="18"/>
      <c r="W585" s="18"/>
      <c r="X585" s="18"/>
      <c r="Y585" s="18"/>
      <c r="Z585" s="18"/>
      <c r="AA585" s="18"/>
      <c r="AB585" s="18"/>
      <c r="AC585" s="18"/>
      <c r="AD585" s="18"/>
      <c r="AE585" s="15"/>
      <c r="AF585" s="15"/>
    </row>
    <row r="586" spans="2:32" x14ac:dyDescent="0.25">
      <c r="B586" s="15" t="str">
        <f t="shared" si="26"/>
        <v/>
      </c>
      <c r="D586" s="1" t="str">
        <f t="shared" si="27"/>
        <v/>
      </c>
      <c r="E586" s="21"/>
      <c r="F586" s="7"/>
      <c r="G586" s="19"/>
      <c r="H586" s="17"/>
      <c r="I586" s="1"/>
      <c r="N586" s="1"/>
      <c r="O586" s="1"/>
      <c r="P586" s="18"/>
      <c r="Q586" s="18"/>
      <c r="R586" s="18"/>
      <c r="S586" s="18"/>
      <c r="T586" s="18"/>
      <c r="U586" s="18"/>
      <c r="V586" s="18"/>
      <c r="W586" s="18"/>
      <c r="X586" s="18"/>
      <c r="Y586" s="18"/>
      <c r="Z586" s="18"/>
      <c r="AA586" s="18"/>
      <c r="AB586" s="18"/>
      <c r="AC586" s="18"/>
      <c r="AD586" s="18"/>
      <c r="AE586" s="15"/>
      <c r="AF586" s="15"/>
    </row>
    <row r="587" spans="2:32" x14ac:dyDescent="0.25">
      <c r="B587" s="15" t="str">
        <f t="shared" si="26"/>
        <v/>
      </c>
      <c r="D587" s="1" t="str">
        <f t="shared" si="27"/>
        <v/>
      </c>
      <c r="E587" s="21"/>
      <c r="F587" s="7"/>
      <c r="G587" s="19"/>
      <c r="H587" s="17"/>
      <c r="I587" s="1"/>
      <c r="N587" s="1"/>
      <c r="O587" s="1"/>
      <c r="P587" s="18"/>
      <c r="Q587" s="18"/>
      <c r="R587" s="18"/>
      <c r="S587" s="18"/>
      <c r="T587" s="18"/>
      <c r="U587" s="18"/>
      <c r="V587" s="18"/>
      <c r="W587" s="18"/>
      <c r="X587" s="18"/>
      <c r="Y587" s="18"/>
      <c r="Z587" s="18"/>
      <c r="AA587" s="18"/>
      <c r="AB587" s="18"/>
      <c r="AC587" s="18"/>
      <c r="AD587" s="18"/>
      <c r="AE587" s="15"/>
      <c r="AF587" s="15"/>
    </row>
    <row r="588" spans="2:32" x14ac:dyDescent="0.25">
      <c r="B588" s="15" t="str">
        <f t="shared" si="26"/>
        <v/>
      </c>
      <c r="D588" s="1" t="str">
        <f t="shared" si="27"/>
        <v/>
      </c>
      <c r="E588" s="21"/>
      <c r="F588" s="7"/>
      <c r="G588" s="19"/>
      <c r="H588" s="17"/>
      <c r="I588" s="1"/>
      <c r="N588" s="1"/>
      <c r="O588" s="1"/>
      <c r="P588" s="18"/>
      <c r="Q588" s="18"/>
      <c r="R588" s="18"/>
      <c r="S588" s="18"/>
      <c r="T588" s="18"/>
      <c r="U588" s="18"/>
      <c r="V588" s="18"/>
      <c r="W588" s="18"/>
      <c r="X588" s="18"/>
      <c r="Y588" s="18"/>
      <c r="Z588" s="18"/>
      <c r="AA588" s="18"/>
      <c r="AB588" s="18"/>
      <c r="AC588" s="18"/>
      <c r="AD588" s="18"/>
      <c r="AE588" s="15"/>
      <c r="AF588" s="15"/>
    </row>
    <row r="589" spans="2:32" x14ac:dyDescent="0.25">
      <c r="B589" s="15" t="str">
        <f t="shared" ref="B589:B652" si="28">IF($B$2=0,"",TEXT($B$2,""))</f>
        <v/>
      </c>
      <c r="D589" s="1" t="str">
        <f t="shared" si="27"/>
        <v/>
      </c>
      <c r="E589" s="21"/>
      <c r="F589" s="7"/>
      <c r="G589" s="19"/>
      <c r="H589" s="17"/>
      <c r="I589" s="1"/>
      <c r="N589" s="1"/>
      <c r="O589" s="1"/>
      <c r="P589" s="18"/>
      <c r="Q589" s="18"/>
      <c r="R589" s="18"/>
      <c r="S589" s="18"/>
      <c r="T589" s="18"/>
      <c r="U589" s="18"/>
      <c r="V589" s="18"/>
      <c r="W589" s="18"/>
      <c r="X589" s="18"/>
      <c r="Y589" s="18"/>
      <c r="Z589" s="18"/>
      <c r="AA589" s="18"/>
      <c r="AB589" s="18"/>
      <c r="AC589" s="18"/>
      <c r="AD589" s="18"/>
      <c r="AE589" s="15"/>
      <c r="AF589" s="15"/>
    </row>
    <row r="590" spans="2:32" x14ac:dyDescent="0.25">
      <c r="B590" s="15" t="str">
        <f t="shared" si="28"/>
        <v/>
      </c>
      <c r="D590" s="1" t="str">
        <f t="shared" si="27"/>
        <v/>
      </c>
      <c r="E590" s="21"/>
      <c r="F590" s="7"/>
      <c r="G590" s="19"/>
      <c r="H590" s="17"/>
      <c r="I590" s="1"/>
      <c r="N590" s="1"/>
      <c r="O590" s="1"/>
      <c r="P590" s="18"/>
      <c r="Q590" s="18"/>
      <c r="R590" s="18"/>
      <c r="S590" s="18"/>
      <c r="T590" s="18"/>
      <c r="U590" s="18"/>
      <c r="V590" s="18"/>
      <c r="W590" s="18"/>
      <c r="X590" s="18"/>
      <c r="Y590" s="18"/>
      <c r="Z590" s="18"/>
      <c r="AA590" s="18"/>
      <c r="AB590" s="18"/>
      <c r="AC590" s="18"/>
      <c r="AD590" s="18"/>
      <c r="AE590" s="15"/>
      <c r="AF590" s="15"/>
    </row>
    <row r="591" spans="2:32" x14ac:dyDescent="0.25">
      <c r="B591" s="15" t="str">
        <f t="shared" si="28"/>
        <v/>
      </c>
      <c r="D591" s="1" t="str">
        <f t="shared" si="27"/>
        <v/>
      </c>
      <c r="E591" s="21"/>
      <c r="F591" s="7"/>
      <c r="G591" s="19"/>
      <c r="H591" s="17"/>
      <c r="I591" s="1"/>
      <c r="N591" s="1"/>
      <c r="O591" s="1"/>
      <c r="P591" s="18"/>
      <c r="Q591" s="18"/>
      <c r="R591" s="18"/>
      <c r="S591" s="18"/>
      <c r="T591" s="18"/>
      <c r="U591" s="18"/>
      <c r="V591" s="18"/>
      <c r="W591" s="18"/>
      <c r="X591" s="18"/>
      <c r="Y591" s="18"/>
      <c r="Z591" s="18"/>
      <c r="AA591" s="18"/>
      <c r="AB591" s="18"/>
      <c r="AC591" s="18"/>
      <c r="AD591" s="18"/>
      <c r="AE591" s="15"/>
      <c r="AF591" s="15"/>
    </row>
    <row r="592" spans="2:32" x14ac:dyDescent="0.25">
      <c r="B592" s="15" t="str">
        <f t="shared" si="28"/>
        <v/>
      </c>
      <c r="D592" s="1" t="str">
        <f t="shared" si="27"/>
        <v/>
      </c>
      <c r="E592" s="21"/>
      <c r="F592" s="7"/>
      <c r="G592" s="19"/>
      <c r="I592" s="1"/>
      <c r="N592" s="1"/>
      <c r="O592" s="1"/>
      <c r="P592" s="6"/>
      <c r="Q592" s="18"/>
      <c r="R592" s="18"/>
      <c r="S592" s="18"/>
      <c r="T592" s="18"/>
      <c r="U592" s="18"/>
      <c r="V592" s="18"/>
      <c r="W592" s="18"/>
      <c r="X592" s="18"/>
      <c r="Y592" s="18"/>
      <c r="Z592" s="18"/>
      <c r="AA592" s="18"/>
      <c r="AB592" s="18"/>
      <c r="AC592" s="18"/>
      <c r="AD592" s="18"/>
      <c r="AE592" s="15"/>
      <c r="AF592" s="15"/>
    </row>
    <row r="593" spans="2:32" x14ac:dyDescent="0.25">
      <c r="B593" s="15" t="str">
        <f t="shared" si="28"/>
        <v/>
      </c>
      <c r="D593" s="1" t="str">
        <f t="shared" si="27"/>
        <v/>
      </c>
      <c r="E593" s="21"/>
      <c r="F593" s="7"/>
      <c r="G593" s="19"/>
      <c r="I593" s="1"/>
      <c r="N593" s="1"/>
      <c r="O593" s="1"/>
      <c r="P593" s="6"/>
      <c r="Q593" s="18"/>
      <c r="R593" s="18"/>
      <c r="S593" s="18"/>
      <c r="T593" s="18"/>
      <c r="U593" s="18"/>
      <c r="V593" s="18"/>
      <c r="W593" s="18"/>
      <c r="X593" s="18"/>
      <c r="Y593" s="18"/>
      <c r="Z593" s="18"/>
      <c r="AA593" s="18"/>
      <c r="AB593" s="18"/>
      <c r="AC593" s="18"/>
      <c r="AD593" s="18"/>
      <c r="AE593" s="15"/>
      <c r="AF593" s="15"/>
    </row>
    <row r="594" spans="2:32" x14ac:dyDescent="0.25">
      <c r="B594" s="15" t="str">
        <f t="shared" si="28"/>
        <v/>
      </c>
      <c r="D594" s="1" t="str">
        <f t="shared" si="27"/>
        <v/>
      </c>
      <c r="E594" s="21"/>
      <c r="F594" s="7"/>
      <c r="G594" s="19"/>
      <c r="I594" s="1"/>
      <c r="N594" s="1"/>
      <c r="O594" s="1"/>
      <c r="P594" s="6"/>
      <c r="Q594" s="18"/>
      <c r="R594" s="18"/>
      <c r="S594" s="18"/>
      <c r="T594" s="18"/>
      <c r="U594" s="18"/>
      <c r="V594" s="18"/>
      <c r="W594" s="18"/>
      <c r="X594" s="18"/>
      <c r="Y594" s="18"/>
      <c r="Z594" s="18"/>
      <c r="AA594" s="18"/>
      <c r="AB594" s="18"/>
      <c r="AC594" s="18"/>
      <c r="AD594" s="18"/>
      <c r="AE594" s="15"/>
      <c r="AF594" s="15"/>
    </row>
    <row r="595" spans="2:32" x14ac:dyDescent="0.25">
      <c r="B595" s="15" t="str">
        <f t="shared" si="28"/>
        <v/>
      </c>
      <c r="D595" s="1" t="str">
        <f t="shared" si="27"/>
        <v/>
      </c>
      <c r="E595" s="21"/>
      <c r="F595" s="7"/>
      <c r="G595" s="19"/>
      <c r="I595" s="1"/>
      <c r="N595" s="1"/>
      <c r="O595" s="1"/>
      <c r="P595" s="6"/>
      <c r="Q595" s="18"/>
      <c r="R595" s="18"/>
      <c r="S595" s="18"/>
      <c r="T595" s="18"/>
      <c r="U595" s="18"/>
      <c r="V595" s="18"/>
      <c r="W595" s="18"/>
      <c r="X595" s="18"/>
      <c r="Y595" s="18"/>
      <c r="Z595" s="18"/>
      <c r="AA595" s="18"/>
      <c r="AB595" s="18"/>
      <c r="AC595" s="18"/>
      <c r="AD595" s="18"/>
      <c r="AE595" s="15"/>
      <c r="AF595" s="15"/>
    </row>
    <row r="596" spans="2:32" x14ac:dyDescent="0.25">
      <c r="B596" s="15" t="str">
        <f t="shared" si="28"/>
        <v/>
      </c>
      <c r="D596" s="1" t="str">
        <f t="shared" si="27"/>
        <v/>
      </c>
      <c r="E596" s="21"/>
      <c r="F596" s="7"/>
      <c r="G596" s="19"/>
      <c r="I596" s="1"/>
      <c r="N596" s="1"/>
      <c r="O596" s="1"/>
      <c r="P596" s="6"/>
      <c r="Q596" s="18"/>
      <c r="R596" s="18"/>
      <c r="S596" s="18"/>
      <c r="T596" s="18"/>
      <c r="U596" s="18"/>
      <c r="V596" s="18"/>
      <c r="W596" s="18"/>
      <c r="X596" s="18"/>
      <c r="Y596" s="18"/>
      <c r="Z596" s="18"/>
      <c r="AA596" s="18"/>
      <c r="AB596" s="18"/>
      <c r="AC596" s="18"/>
      <c r="AD596" s="18"/>
      <c r="AE596" s="15"/>
      <c r="AF596" s="15"/>
    </row>
    <row r="597" spans="2:32" x14ac:dyDescent="0.25">
      <c r="B597" s="15" t="str">
        <f t="shared" si="28"/>
        <v/>
      </c>
      <c r="D597" s="1" t="str">
        <f t="shared" si="27"/>
        <v/>
      </c>
      <c r="E597" s="21"/>
      <c r="F597" s="7"/>
      <c r="G597" s="19"/>
      <c r="I597" s="1"/>
      <c r="N597" s="1"/>
      <c r="O597" s="1"/>
      <c r="P597" s="6"/>
      <c r="Q597" s="18"/>
      <c r="R597" s="18"/>
      <c r="S597" s="18"/>
      <c r="T597" s="18"/>
      <c r="U597" s="18"/>
      <c r="V597" s="18"/>
      <c r="W597" s="18"/>
      <c r="X597" s="18"/>
      <c r="Y597" s="18"/>
      <c r="Z597" s="18"/>
      <c r="AA597" s="18"/>
      <c r="AB597" s="18"/>
      <c r="AC597" s="18"/>
      <c r="AD597" s="18"/>
      <c r="AE597" s="15"/>
      <c r="AF597" s="15"/>
    </row>
    <row r="598" spans="2:32" x14ac:dyDescent="0.25">
      <c r="B598" s="15" t="str">
        <f t="shared" si="28"/>
        <v/>
      </c>
      <c r="D598" s="1" t="str">
        <f t="shared" si="27"/>
        <v/>
      </c>
      <c r="E598" s="21"/>
      <c r="F598" s="7"/>
      <c r="G598" s="19"/>
      <c r="I598" s="1"/>
      <c r="N598" s="1"/>
      <c r="O598" s="1"/>
      <c r="P598" s="6"/>
      <c r="Q598" s="18"/>
      <c r="R598" s="18"/>
      <c r="S598" s="18"/>
      <c r="T598" s="18"/>
      <c r="U598" s="18"/>
      <c r="V598" s="18"/>
      <c r="W598" s="18"/>
      <c r="X598" s="18"/>
      <c r="Y598" s="18"/>
      <c r="Z598" s="18"/>
      <c r="AA598" s="18"/>
      <c r="AB598" s="18"/>
      <c r="AC598" s="18"/>
      <c r="AD598" s="18"/>
      <c r="AE598" s="15"/>
      <c r="AF598" s="15"/>
    </row>
    <row r="599" spans="2:32" x14ac:dyDescent="0.25">
      <c r="B599" s="15" t="str">
        <f t="shared" si="28"/>
        <v/>
      </c>
      <c r="D599" s="1" t="str">
        <f t="shared" si="27"/>
        <v/>
      </c>
      <c r="E599" s="21"/>
      <c r="F599" s="7"/>
      <c r="G599" s="19"/>
      <c r="I599" s="1"/>
      <c r="N599" s="1"/>
      <c r="O599" s="1"/>
      <c r="P599" s="6"/>
      <c r="Q599" s="18"/>
      <c r="R599" s="18"/>
      <c r="S599" s="18"/>
      <c r="T599" s="18"/>
      <c r="U599" s="18"/>
      <c r="V599" s="18"/>
      <c r="W599" s="18"/>
      <c r="X599" s="18"/>
      <c r="Y599" s="18"/>
      <c r="Z599" s="18"/>
      <c r="AA599" s="18"/>
      <c r="AB599" s="18"/>
      <c r="AC599" s="18"/>
      <c r="AD599" s="18"/>
      <c r="AE599" s="15"/>
      <c r="AF599" s="15"/>
    </row>
    <row r="600" spans="2:32" x14ac:dyDescent="0.25">
      <c r="B600" s="15" t="str">
        <f t="shared" si="28"/>
        <v/>
      </c>
      <c r="D600" s="1" t="str">
        <f t="shared" si="27"/>
        <v/>
      </c>
      <c r="E600" s="21"/>
      <c r="F600" s="7"/>
      <c r="G600" s="19"/>
      <c r="I600" s="1"/>
      <c r="N600" s="1"/>
      <c r="O600" s="1"/>
      <c r="P600" s="6"/>
      <c r="Q600" s="18"/>
      <c r="R600" s="18"/>
      <c r="S600" s="18"/>
      <c r="T600" s="18"/>
      <c r="U600" s="18"/>
      <c r="V600" s="18"/>
      <c r="W600" s="18"/>
      <c r="X600" s="18"/>
      <c r="Y600" s="18"/>
      <c r="Z600" s="18"/>
      <c r="AA600" s="18"/>
      <c r="AB600" s="18"/>
      <c r="AC600" s="18"/>
      <c r="AD600" s="18"/>
      <c r="AE600" s="15"/>
      <c r="AF600" s="15"/>
    </row>
    <row r="601" spans="2:32" x14ac:dyDescent="0.25">
      <c r="B601" s="15" t="str">
        <f t="shared" si="28"/>
        <v/>
      </c>
      <c r="D601" s="1" t="str">
        <f t="shared" si="27"/>
        <v/>
      </c>
      <c r="E601" s="21"/>
      <c r="F601" s="7"/>
      <c r="G601" s="19"/>
      <c r="I601" s="1"/>
      <c r="N601" s="1"/>
      <c r="O601" s="1"/>
      <c r="P601" s="6"/>
      <c r="Q601" s="18"/>
      <c r="R601" s="18"/>
      <c r="S601" s="18"/>
      <c r="T601" s="18"/>
      <c r="U601" s="18"/>
      <c r="V601" s="18"/>
      <c r="W601" s="18"/>
      <c r="X601" s="18"/>
      <c r="Y601" s="18"/>
      <c r="Z601" s="18"/>
      <c r="AA601" s="18"/>
      <c r="AB601" s="18"/>
      <c r="AC601" s="18"/>
      <c r="AD601" s="18"/>
      <c r="AE601" s="15"/>
      <c r="AF601" s="15"/>
    </row>
    <row r="602" spans="2:32" x14ac:dyDescent="0.25">
      <c r="B602" s="15" t="str">
        <f t="shared" si="28"/>
        <v/>
      </c>
      <c r="D602" s="1" t="str">
        <f t="shared" si="27"/>
        <v/>
      </c>
      <c r="E602" s="21"/>
      <c r="F602" s="7"/>
      <c r="G602" s="19"/>
      <c r="I602" s="1"/>
      <c r="N602" s="1"/>
      <c r="O602" s="1"/>
      <c r="P602" s="6"/>
      <c r="Q602" s="18"/>
      <c r="R602" s="18"/>
      <c r="S602" s="18"/>
      <c r="T602" s="18"/>
      <c r="U602" s="18"/>
      <c r="V602" s="18"/>
      <c r="W602" s="18"/>
      <c r="X602" s="18"/>
      <c r="Y602" s="18"/>
      <c r="Z602" s="18"/>
      <c r="AA602" s="18"/>
      <c r="AB602" s="18"/>
      <c r="AC602" s="18"/>
      <c r="AD602" s="18"/>
      <c r="AE602" s="15"/>
      <c r="AF602" s="15"/>
    </row>
    <row r="603" spans="2:32" x14ac:dyDescent="0.25">
      <c r="B603" s="15" t="str">
        <f t="shared" si="28"/>
        <v/>
      </c>
      <c r="D603" s="1" t="str">
        <f t="shared" si="27"/>
        <v/>
      </c>
      <c r="E603" s="21"/>
      <c r="F603" s="7"/>
      <c r="G603" s="19"/>
      <c r="I603" s="1"/>
      <c r="N603" s="1"/>
      <c r="O603" s="1"/>
      <c r="P603" s="6"/>
      <c r="Q603" s="18"/>
      <c r="R603" s="18"/>
      <c r="S603" s="18"/>
      <c r="T603" s="18"/>
      <c r="U603" s="18"/>
      <c r="V603" s="18"/>
      <c r="W603" s="18"/>
      <c r="X603" s="18"/>
      <c r="Y603" s="18"/>
      <c r="Z603" s="18"/>
      <c r="AA603" s="18"/>
      <c r="AB603" s="18"/>
      <c r="AC603" s="18"/>
      <c r="AD603" s="18"/>
      <c r="AE603" s="15"/>
      <c r="AF603" s="15"/>
    </row>
    <row r="604" spans="2:32" x14ac:dyDescent="0.25">
      <c r="B604" s="15" t="str">
        <f t="shared" si="28"/>
        <v/>
      </c>
      <c r="D604" s="1" t="str">
        <f t="shared" si="27"/>
        <v/>
      </c>
      <c r="E604" s="21"/>
      <c r="F604" s="7"/>
      <c r="G604" s="19"/>
      <c r="I604" s="1"/>
      <c r="N604" s="1"/>
      <c r="O604" s="1"/>
      <c r="P604" s="6"/>
      <c r="Q604" s="18"/>
      <c r="R604" s="18"/>
      <c r="S604" s="18"/>
      <c r="T604" s="18"/>
      <c r="U604" s="18"/>
      <c r="V604" s="18"/>
      <c r="W604" s="18"/>
      <c r="X604" s="18"/>
      <c r="Y604" s="18"/>
      <c r="Z604" s="18"/>
      <c r="AA604" s="18"/>
      <c r="AB604" s="18"/>
      <c r="AC604" s="18"/>
      <c r="AD604" s="18"/>
      <c r="AE604" s="15"/>
      <c r="AF604" s="15"/>
    </row>
    <row r="605" spans="2:32" x14ac:dyDescent="0.25">
      <c r="B605" s="15" t="str">
        <f t="shared" si="28"/>
        <v/>
      </c>
      <c r="D605" s="1" t="str">
        <f t="shared" si="27"/>
        <v/>
      </c>
      <c r="E605" s="21"/>
      <c r="F605" s="7"/>
      <c r="G605" s="19"/>
      <c r="I605" s="1"/>
      <c r="N605" s="1"/>
      <c r="O605" s="1"/>
      <c r="P605" s="6"/>
      <c r="Q605" s="18"/>
      <c r="R605" s="18"/>
      <c r="S605" s="18"/>
      <c r="T605" s="18"/>
      <c r="U605" s="18"/>
      <c r="V605" s="18"/>
      <c r="W605" s="18"/>
      <c r="X605" s="18"/>
      <c r="Y605" s="18"/>
      <c r="Z605" s="18"/>
      <c r="AA605" s="18"/>
      <c r="AB605" s="18"/>
      <c r="AC605" s="18"/>
      <c r="AD605" s="18"/>
      <c r="AE605" s="15"/>
      <c r="AF605" s="15"/>
    </row>
    <row r="606" spans="2:32" x14ac:dyDescent="0.25">
      <c r="B606" s="15" t="str">
        <f t="shared" si="28"/>
        <v/>
      </c>
      <c r="D606" s="1" t="str">
        <f t="shared" si="27"/>
        <v/>
      </c>
      <c r="E606" s="21"/>
      <c r="F606" s="7"/>
      <c r="G606" s="19"/>
      <c r="I606" s="1"/>
      <c r="N606" s="1"/>
      <c r="O606" s="1"/>
      <c r="P606" s="6"/>
      <c r="Q606" s="18"/>
      <c r="R606" s="18"/>
      <c r="S606" s="18"/>
      <c r="T606" s="18"/>
      <c r="U606" s="18"/>
      <c r="V606" s="18"/>
      <c r="W606" s="18"/>
      <c r="X606" s="18"/>
      <c r="Y606" s="18"/>
      <c r="Z606" s="18"/>
      <c r="AA606" s="18"/>
      <c r="AB606" s="18"/>
      <c r="AC606" s="18"/>
      <c r="AD606" s="18"/>
      <c r="AE606" s="15"/>
      <c r="AF606" s="15"/>
    </row>
    <row r="607" spans="2:32" x14ac:dyDescent="0.25">
      <c r="B607" s="15" t="str">
        <f t="shared" si="28"/>
        <v/>
      </c>
      <c r="D607" s="1" t="str">
        <f t="shared" si="27"/>
        <v/>
      </c>
      <c r="E607" s="21"/>
      <c r="F607" s="7"/>
      <c r="G607" s="19"/>
      <c r="I607" s="1"/>
      <c r="N607" s="1"/>
      <c r="O607" s="1"/>
      <c r="P607" s="6"/>
      <c r="Q607" s="18"/>
      <c r="R607" s="18"/>
      <c r="S607" s="18"/>
      <c r="T607" s="18"/>
      <c r="U607" s="18"/>
      <c r="V607" s="18"/>
      <c r="W607" s="18"/>
      <c r="X607" s="18"/>
      <c r="Y607" s="18"/>
      <c r="Z607" s="18"/>
      <c r="AA607" s="18"/>
      <c r="AB607" s="18"/>
      <c r="AC607" s="18"/>
      <c r="AD607" s="18"/>
      <c r="AE607" s="15"/>
      <c r="AF607" s="15"/>
    </row>
    <row r="608" spans="2:32" x14ac:dyDescent="0.25">
      <c r="B608" s="15" t="str">
        <f t="shared" si="28"/>
        <v/>
      </c>
      <c r="D608" s="1" t="str">
        <f t="shared" si="27"/>
        <v/>
      </c>
      <c r="E608" s="21"/>
      <c r="F608" s="7"/>
      <c r="G608" s="19"/>
      <c r="I608" s="1"/>
      <c r="N608" s="1"/>
      <c r="O608" s="1"/>
      <c r="P608" s="6"/>
      <c r="Q608" s="18"/>
      <c r="R608" s="18"/>
      <c r="S608" s="18"/>
      <c r="T608" s="18"/>
      <c r="U608" s="18"/>
      <c r="V608" s="18"/>
      <c r="W608" s="18"/>
      <c r="X608" s="18"/>
      <c r="Y608" s="18"/>
      <c r="Z608" s="18"/>
      <c r="AA608" s="18"/>
      <c r="AB608" s="18"/>
      <c r="AC608" s="18"/>
      <c r="AD608" s="18"/>
      <c r="AE608" s="15"/>
      <c r="AF608" s="15"/>
    </row>
    <row r="609" spans="2:32" x14ac:dyDescent="0.25">
      <c r="B609" s="15" t="str">
        <f t="shared" si="28"/>
        <v/>
      </c>
      <c r="D609" s="1" t="str">
        <f t="shared" si="27"/>
        <v/>
      </c>
      <c r="E609" s="21"/>
      <c r="F609" s="7"/>
      <c r="G609" s="19"/>
      <c r="I609" s="1"/>
      <c r="N609" s="1"/>
      <c r="O609" s="1"/>
      <c r="P609" s="6"/>
      <c r="Q609" s="18"/>
      <c r="R609" s="18"/>
      <c r="S609" s="18"/>
      <c r="T609" s="18"/>
      <c r="U609" s="18"/>
      <c r="V609" s="18"/>
      <c r="W609" s="18"/>
      <c r="X609" s="18"/>
      <c r="Y609" s="18"/>
      <c r="Z609" s="18"/>
      <c r="AA609" s="18"/>
      <c r="AB609" s="18"/>
      <c r="AC609" s="18"/>
      <c r="AD609" s="18"/>
      <c r="AE609" s="15"/>
      <c r="AF609" s="15"/>
    </row>
    <row r="610" spans="2:32" x14ac:dyDescent="0.25">
      <c r="B610" s="15" t="str">
        <f t="shared" si="28"/>
        <v/>
      </c>
      <c r="D610" s="1" t="str">
        <f t="shared" si="27"/>
        <v/>
      </c>
      <c r="E610" s="21"/>
      <c r="F610" s="7"/>
      <c r="G610" s="19"/>
      <c r="I610" s="1"/>
      <c r="N610" s="1"/>
      <c r="O610" s="1"/>
      <c r="P610" s="6"/>
      <c r="Q610" s="18"/>
      <c r="R610" s="18"/>
      <c r="S610" s="18"/>
      <c r="T610" s="18"/>
      <c r="U610" s="18"/>
      <c r="V610" s="18"/>
      <c r="W610" s="18"/>
      <c r="X610" s="18"/>
      <c r="Y610" s="18"/>
      <c r="Z610" s="18"/>
      <c r="AA610" s="18"/>
      <c r="AB610" s="18"/>
      <c r="AC610" s="18"/>
      <c r="AD610" s="18"/>
      <c r="AE610" s="15"/>
      <c r="AF610" s="15"/>
    </row>
    <row r="611" spans="2:32" x14ac:dyDescent="0.25">
      <c r="B611" s="15" t="str">
        <f t="shared" si="28"/>
        <v/>
      </c>
      <c r="D611" s="1" t="str">
        <f t="shared" si="27"/>
        <v/>
      </c>
      <c r="E611" s="21"/>
      <c r="F611" s="7"/>
      <c r="G611" s="19"/>
      <c r="I611" s="1"/>
      <c r="N611" s="1"/>
      <c r="O611" s="1"/>
      <c r="P611" s="6"/>
      <c r="Q611" s="18"/>
      <c r="R611" s="18"/>
      <c r="S611" s="18"/>
      <c r="T611" s="18"/>
      <c r="U611" s="18"/>
      <c r="V611" s="18"/>
      <c r="W611" s="18"/>
      <c r="X611" s="18"/>
      <c r="Y611" s="18"/>
      <c r="Z611" s="18"/>
      <c r="AA611" s="18"/>
      <c r="AB611" s="18"/>
      <c r="AC611" s="18"/>
      <c r="AD611" s="18"/>
      <c r="AE611" s="15"/>
      <c r="AF611" s="15"/>
    </row>
    <row r="612" spans="2:32" x14ac:dyDescent="0.25">
      <c r="B612" s="15" t="str">
        <f t="shared" si="28"/>
        <v/>
      </c>
      <c r="D612" s="1" t="str">
        <f t="shared" si="27"/>
        <v/>
      </c>
      <c r="E612" s="21"/>
      <c r="F612" s="7"/>
      <c r="G612" s="19"/>
      <c r="I612" s="1"/>
      <c r="N612" s="1"/>
      <c r="O612" s="1"/>
      <c r="P612" s="6"/>
      <c r="Q612" s="18"/>
      <c r="R612" s="18"/>
      <c r="S612" s="18"/>
      <c r="T612" s="18"/>
      <c r="U612" s="18"/>
      <c r="V612" s="18"/>
      <c r="W612" s="18"/>
      <c r="X612" s="18"/>
      <c r="Y612" s="18"/>
      <c r="Z612" s="18"/>
      <c r="AA612" s="18"/>
      <c r="AB612" s="18"/>
      <c r="AC612" s="18"/>
      <c r="AD612" s="18"/>
      <c r="AE612" s="15"/>
      <c r="AF612" s="15"/>
    </row>
    <row r="613" spans="2:32" x14ac:dyDescent="0.25">
      <c r="B613" s="15" t="str">
        <f t="shared" si="28"/>
        <v/>
      </c>
      <c r="D613" s="1" t="str">
        <f t="shared" si="27"/>
        <v/>
      </c>
      <c r="E613" s="21"/>
      <c r="F613" s="7"/>
      <c r="G613" s="19"/>
      <c r="I613" s="1"/>
      <c r="N613" s="1"/>
      <c r="O613" s="1"/>
      <c r="P613" s="6"/>
      <c r="Q613" s="18"/>
      <c r="R613" s="18"/>
      <c r="S613" s="18"/>
      <c r="T613" s="18"/>
      <c r="U613" s="18"/>
      <c r="V613" s="18"/>
      <c r="W613" s="18"/>
      <c r="X613" s="18"/>
      <c r="Y613" s="18"/>
      <c r="Z613" s="18"/>
      <c r="AA613" s="18"/>
      <c r="AB613" s="18"/>
      <c r="AC613" s="18"/>
      <c r="AD613" s="18"/>
      <c r="AE613" s="15"/>
      <c r="AF613" s="15"/>
    </row>
    <row r="614" spans="2:32" x14ac:dyDescent="0.25">
      <c r="B614" s="15" t="str">
        <f t="shared" si="28"/>
        <v/>
      </c>
      <c r="D614" s="1" t="str">
        <f t="shared" si="27"/>
        <v/>
      </c>
      <c r="E614" s="21"/>
      <c r="F614" s="7"/>
      <c r="G614" s="19"/>
      <c r="I614" s="1"/>
      <c r="N614" s="1"/>
      <c r="O614" s="1"/>
      <c r="P614" s="6"/>
      <c r="Q614" s="18"/>
      <c r="R614" s="18"/>
      <c r="S614" s="18"/>
      <c r="T614" s="18"/>
      <c r="U614" s="18"/>
      <c r="V614" s="18"/>
      <c r="W614" s="18"/>
      <c r="X614" s="18"/>
      <c r="Y614" s="18"/>
      <c r="Z614" s="18"/>
      <c r="AA614" s="18"/>
      <c r="AB614" s="18"/>
      <c r="AC614" s="18"/>
      <c r="AD614" s="18"/>
      <c r="AE614" s="15"/>
      <c r="AF614" s="15"/>
    </row>
    <row r="615" spans="2:32" x14ac:dyDescent="0.25">
      <c r="B615" s="15" t="str">
        <f t="shared" si="28"/>
        <v/>
      </c>
      <c r="D615" s="1" t="str">
        <f t="shared" si="27"/>
        <v/>
      </c>
      <c r="E615" s="21"/>
      <c r="F615" s="7"/>
      <c r="G615" s="19"/>
      <c r="I615" s="1"/>
      <c r="N615" s="1"/>
      <c r="O615" s="1"/>
      <c r="P615" s="6"/>
      <c r="Q615" s="18"/>
      <c r="R615" s="18"/>
      <c r="S615" s="18"/>
      <c r="T615" s="18"/>
      <c r="U615" s="18"/>
      <c r="V615" s="18"/>
      <c r="W615" s="18"/>
      <c r="X615" s="18"/>
      <c r="Y615" s="18"/>
      <c r="Z615" s="18"/>
      <c r="AA615" s="18"/>
      <c r="AB615" s="18"/>
      <c r="AC615" s="18"/>
      <c r="AD615" s="18"/>
      <c r="AE615" s="15"/>
      <c r="AF615" s="15"/>
    </row>
    <row r="616" spans="2:32" x14ac:dyDescent="0.25">
      <c r="B616" s="15" t="str">
        <f t="shared" si="28"/>
        <v/>
      </c>
      <c r="D616" s="1" t="str">
        <f t="shared" si="27"/>
        <v/>
      </c>
      <c r="E616" s="21"/>
      <c r="F616" s="7"/>
      <c r="G616" s="19"/>
      <c r="I616" s="1"/>
      <c r="N616" s="1"/>
      <c r="O616" s="1"/>
      <c r="P616" s="6"/>
      <c r="Q616" s="18"/>
      <c r="R616" s="18"/>
      <c r="S616" s="18"/>
      <c r="T616" s="18"/>
      <c r="U616" s="18"/>
      <c r="V616" s="18"/>
      <c r="W616" s="18"/>
      <c r="X616" s="18"/>
      <c r="Y616" s="18"/>
      <c r="Z616" s="18"/>
      <c r="AA616" s="18"/>
      <c r="AB616" s="18"/>
      <c r="AC616" s="18"/>
      <c r="AD616" s="18"/>
      <c r="AE616" s="15"/>
      <c r="AF616" s="15"/>
    </row>
    <row r="617" spans="2:32" x14ac:dyDescent="0.25">
      <c r="B617" s="15" t="str">
        <f t="shared" si="28"/>
        <v/>
      </c>
      <c r="D617" s="1" t="str">
        <f t="shared" si="27"/>
        <v/>
      </c>
      <c r="E617" s="21"/>
      <c r="F617" s="7"/>
      <c r="G617" s="19"/>
      <c r="I617" s="1"/>
      <c r="N617" s="1"/>
      <c r="O617" s="1"/>
      <c r="P617" s="6"/>
      <c r="Q617" s="18"/>
      <c r="R617" s="18"/>
      <c r="S617" s="18"/>
      <c r="T617" s="18"/>
      <c r="U617" s="18"/>
      <c r="V617" s="18"/>
      <c r="W617" s="18"/>
      <c r="X617" s="18"/>
      <c r="Y617" s="18"/>
      <c r="Z617" s="18"/>
      <c r="AA617" s="18"/>
      <c r="AB617" s="18"/>
      <c r="AC617" s="18"/>
      <c r="AD617" s="18"/>
      <c r="AE617" s="15"/>
      <c r="AF617" s="15"/>
    </row>
    <row r="618" spans="2:32" x14ac:dyDescent="0.25">
      <c r="B618" s="15" t="str">
        <f t="shared" si="28"/>
        <v/>
      </c>
      <c r="D618" s="1" t="str">
        <f t="shared" si="27"/>
        <v/>
      </c>
      <c r="E618" s="21"/>
      <c r="F618" s="7"/>
      <c r="G618" s="19"/>
      <c r="I618" s="1"/>
      <c r="N618" s="1"/>
      <c r="O618" s="1"/>
      <c r="P618" s="6"/>
      <c r="Q618" s="18"/>
      <c r="R618" s="18"/>
      <c r="S618" s="18"/>
      <c r="T618" s="18"/>
      <c r="U618" s="18"/>
      <c r="V618" s="18"/>
      <c r="W618" s="18"/>
      <c r="X618" s="18"/>
      <c r="Y618" s="18"/>
      <c r="Z618" s="18"/>
      <c r="AA618" s="18"/>
      <c r="AB618" s="18"/>
      <c r="AC618" s="18"/>
      <c r="AD618" s="18"/>
      <c r="AE618" s="15"/>
      <c r="AF618" s="15"/>
    </row>
    <row r="619" spans="2:32" x14ac:dyDescent="0.25">
      <c r="B619" s="15" t="str">
        <f t="shared" si="28"/>
        <v/>
      </c>
      <c r="D619" s="1" t="str">
        <f t="shared" si="27"/>
        <v/>
      </c>
      <c r="E619" s="21"/>
      <c r="F619" s="7"/>
      <c r="G619" s="19"/>
      <c r="I619" s="1"/>
      <c r="N619" s="1"/>
      <c r="O619" s="1"/>
      <c r="P619" s="6"/>
      <c r="Q619" s="18"/>
      <c r="R619" s="18"/>
      <c r="S619" s="18"/>
      <c r="T619" s="18"/>
      <c r="U619" s="18"/>
      <c r="V619" s="18"/>
      <c r="W619" s="18"/>
      <c r="X619" s="18"/>
      <c r="Y619" s="18"/>
      <c r="Z619" s="18"/>
      <c r="AA619" s="18"/>
      <c r="AB619" s="18"/>
      <c r="AC619" s="18"/>
      <c r="AD619" s="18"/>
      <c r="AE619" s="15"/>
      <c r="AF619" s="15"/>
    </row>
    <row r="620" spans="2:32" x14ac:dyDescent="0.25">
      <c r="B620" s="15" t="str">
        <f t="shared" si="28"/>
        <v/>
      </c>
      <c r="D620" s="1" t="str">
        <f t="shared" si="27"/>
        <v/>
      </c>
      <c r="E620" s="21"/>
      <c r="F620" s="7"/>
      <c r="G620" s="19"/>
      <c r="I620" s="1"/>
      <c r="N620" s="1"/>
      <c r="O620" s="1"/>
      <c r="P620" s="6"/>
      <c r="Q620" s="18"/>
      <c r="R620" s="18"/>
      <c r="S620" s="18"/>
      <c r="T620" s="18"/>
      <c r="U620" s="18"/>
      <c r="V620" s="18"/>
      <c r="W620" s="18"/>
      <c r="X620" s="18"/>
      <c r="Y620" s="18"/>
      <c r="Z620" s="18"/>
      <c r="AA620" s="18"/>
      <c r="AB620" s="18"/>
      <c r="AC620" s="18"/>
      <c r="AD620" s="18"/>
      <c r="AE620" s="15"/>
      <c r="AF620" s="15"/>
    </row>
    <row r="621" spans="2:32" x14ac:dyDescent="0.25">
      <c r="B621" s="15" t="str">
        <f t="shared" si="28"/>
        <v/>
      </c>
      <c r="D621" s="1" t="str">
        <f t="shared" si="27"/>
        <v/>
      </c>
      <c r="E621" s="21"/>
      <c r="F621" s="7"/>
      <c r="G621" s="19"/>
      <c r="I621" s="1"/>
      <c r="N621" s="1"/>
      <c r="O621" s="1"/>
      <c r="P621" s="6"/>
      <c r="Q621" s="18"/>
      <c r="R621" s="18"/>
      <c r="S621" s="18"/>
      <c r="T621" s="18"/>
      <c r="U621" s="18"/>
      <c r="V621" s="18"/>
      <c r="W621" s="18"/>
      <c r="X621" s="18"/>
      <c r="Y621" s="18"/>
      <c r="Z621" s="18"/>
      <c r="AA621" s="18"/>
      <c r="AB621" s="18"/>
      <c r="AC621" s="18"/>
      <c r="AD621" s="18"/>
      <c r="AE621" s="15"/>
      <c r="AF621" s="15"/>
    </row>
    <row r="622" spans="2:32" x14ac:dyDescent="0.25">
      <c r="B622" s="15" t="str">
        <f t="shared" si="28"/>
        <v/>
      </c>
      <c r="D622" s="1" t="str">
        <f t="shared" si="27"/>
        <v/>
      </c>
      <c r="E622" s="21"/>
      <c r="F622" s="7"/>
      <c r="G622" s="19"/>
      <c r="I622" s="1"/>
      <c r="N622" s="1"/>
      <c r="O622" s="1"/>
      <c r="P622" s="6"/>
      <c r="Q622" s="18"/>
      <c r="R622" s="18"/>
      <c r="S622" s="18"/>
      <c r="T622" s="18"/>
      <c r="U622" s="18"/>
      <c r="V622" s="18"/>
      <c r="W622" s="18"/>
      <c r="X622" s="18"/>
      <c r="Y622" s="18"/>
      <c r="Z622" s="18"/>
      <c r="AA622" s="18"/>
      <c r="AB622" s="18"/>
      <c r="AC622" s="18"/>
      <c r="AD622" s="18"/>
      <c r="AE622" s="15"/>
      <c r="AF622" s="15"/>
    </row>
    <row r="623" spans="2:32" x14ac:dyDescent="0.25">
      <c r="B623" s="15" t="str">
        <f t="shared" si="28"/>
        <v/>
      </c>
      <c r="D623" s="1" t="str">
        <f t="shared" si="27"/>
        <v/>
      </c>
      <c r="E623" s="21"/>
      <c r="F623" s="7"/>
      <c r="G623" s="19"/>
      <c r="I623" s="1"/>
      <c r="N623" s="1"/>
      <c r="O623" s="1"/>
      <c r="P623" s="6"/>
      <c r="Q623" s="18"/>
      <c r="R623" s="18"/>
      <c r="S623" s="18"/>
      <c r="T623" s="18"/>
      <c r="U623" s="18"/>
      <c r="V623" s="18"/>
      <c r="W623" s="18"/>
      <c r="X623" s="18"/>
      <c r="Y623" s="18"/>
      <c r="Z623" s="18"/>
      <c r="AA623" s="18"/>
      <c r="AB623" s="18"/>
      <c r="AC623" s="18"/>
      <c r="AD623" s="18"/>
      <c r="AE623" s="15"/>
      <c r="AF623" s="15"/>
    </row>
    <row r="624" spans="2:32" x14ac:dyDescent="0.25">
      <c r="B624" s="15" t="str">
        <f t="shared" si="28"/>
        <v/>
      </c>
      <c r="D624" s="1" t="str">
        <f t="shared" si="27"/>
        <v/>
      </c>
      <c r="E624" s="21"/>
      <c r="F624" s="7"/>
      <c r="G624" s="19"/>
      <c r="I624" s="1"/>
      <c r="N624" s="1"/>
      <c r="O624" s="1"/>
      <c r="P624" s="6"/>
      <c r="Q624" s="18"/>
      <c r="R624" s="18"/>
      <c r="S624" s="18"/>
      <c r="T624" s="18"/>
      <c r="U624" s="18"/>
      <c r="V624" s="18"/>
      <c r="W624" s="18"/>
      <c r="X624" s="18"/>
      <c r="Y624" s="18"/>
      <c r="Z624" s="18"/>
      <c r="AA624" s="18"/>
      <c r="AB624" s="18"/>
      <c r="AC624" s="18"/>
      <c r="AD624" s="18"/>
      <c r="AE624" s="15"/>
      <c r="AF624" s="15"/>
    </row>
    <row r="625" spans="2:32" x14ac:dyDescent="0.25">
      <c r="B625" s="15" t="str">
        <f t="shared" si="28"/>
        <v/>
      </c>
      <c r="D625" s="1" t="str">
        <f t="shared" si="27"/>
        <v/>
      </c>
      <c r="E625" s="21"/>
      <c r="F625" s="7"/>
      <c r="G625" s="19"/>
      <c r="I625" s="1"/>
      <c r="N625" s="1"/>
      <c r="O625" s="1"/>
      <c r="P625" s="6"/>
      <c r="Q625" s="18"/>
      <c r="R625" s="18"/>
      <c r="S625" s="18"/>
      <c r="T625" s="18"/>
      <c r="U625" s="18"/>
      <c r="V625" s="18"/>
      <c r="W625" s="18"/>
      <c r="X625" s="18"/>
      <c r="Y625" s="18"/>
      <c r="Z625" s="18"/>
      <c r="AA625" s="18"/>
      <c r="AB625" s="18"/>
      <c r="AC625" s="18"/>
      <c r="AD625" s="18"/>
      <c r="AE625" s="15"/>
      <c r="AF625" s="15"/>
    </row>
    <row r="626" spans="2:32" x14ac:dyDescent="0.25">
      <c r="B626" s="15" t="str">
        <f t="shared" si="28"/>
        <v/>
      </c>
      <c r="D626" s="1" t="str">
        <f t="shared" si="27"/>
        <v/>
      </c>
      <c r="E626" s="21"/>
      <c r="F626" s="7"/>
      <c r="G626" s="19"/>
      <c r="I626" s="1"/>
      <c r="N626" s="1"/>
      <c r="O626" s="1"/>
      <c r="P626" s="6"/>
      <c r="Q626" s="18"/>
      <c r="R626" s="18"/>
      <c r="S626" s="18"/>
      <c r="T626" s="18"/>
      <c r="U626" s="18"/>
      <c r="V626" s="18"/>
      <c r="W626" s="18"/>
      <c r="X626" s="18"/>
      <c r="Y626" s="18"/>
      <c r="Z626" s="18"/>
      <c r="AA626" s="18"/>
      <c r="AB626" s="18"/>
      <c r="AC626" s="18"/>
      <c r="AD626" s="18"/>
      <c r="AE626" s="15"/>
      <c r="AF626" s="15"/>
    </row>
    <row r="627" spans="2:32" x14ac:dyDescent="0.25">
      <c r="B627" s="15" t="str">
        <f t="shared" si="28"/>
        <v/>
      </c>
      <c r="D627" s="1" t="str">
        <f t="shared" si="27"/>
        <v/>
      </c>
      <c r="E627" s="21"/>
      <c r="F627" s="7"/>
      <c r="G627" s="19"/>
      <c r="I627" s="1"/>
      <c r="N627" s="1"/>
      <c r="O627" s="1"/>
      <c r="P627" s="6"/>
      <c r="Q627" s="18"/>
      <c r="R627" s="18"/>
      <c r="S627" s="18"/>
      <c r="T627" s="18"/>
      <c r="U627" s="18"/>
      <c r="V627" s="18"/>
      <c r="W627" s="18"/>
      <c r="X627" s="18"/>
      <c r="Y627" s="18"/>
      <c r="Z627" s="18"/>
      <c r="AA627" s="18"/>
      <c r="AB627" s="18"/>
      <c r="AC627" s="18"/>
      <c r="AD627" s="18"/>
      <c r="AE627" s="15"/>
      <c r="AF627" s="15"/>
    </row>
    <row r="628" spans="2:32" x14ac:dyDescent="0.25">
      <c r="B628" s="15" t="str">
        <f t="shared" si="28"/>
        <v/>
      </c>
      <c r="D628" s="1" t="str">
        <f t="shared" si="27"/>
        <v/>
      </c>
      <c r="E628" s="21"/>
      <c r="F628" s="7"/>
      <c r="G628" s="19"/>
      <c r="I628" s="1"/>
      <c r="N628" s="1"/>
      <c r="O628" s="1"/>
      <c r="P628" s="6"/>
      <c r="Q628" s="18"/>
      <c r="R628" s="18"/>
      <c r="S628" s="18"/>
      <c r="T628" s="18"/>
      <c r="U628" s="18"/>
      <c r="V628" s="18"/>
      <c r="W628" s="18"/>
      <c r="X628" s="18"/>
      <c r="Y628" s="18"/>
      <c r="Z628" s="18"/>
      <c r="AA628" s="18"/>
      <c r="AB628" s="18"/>
      <c r="AC628" s="18"/>
      <c r="AD628" s="18"/>
      <c r="AE628" s="15"/>
      <c r="AF628" s="15"/>
    </row>
    <row r="629" spans="2:32" x14ac:dyDescent="0.25">
      <c r="B629" s="15" t="str">
        <f t="shared" si="28"/>
        <v/>
      </c>
      <c r="D629" s="1" t="str">
        <f t="shared" si="27"/>
        <v/>
      </c>
      <c r="E629" s="21"/>
      <c r="F629" s="7"/>
      <c r="G629" s="19"/>
      <c r="I629" s="1"/>
      <c r="N629" s="1"/>
      <c r="O629" s="1"/>
      <c r="P629" s="6"/>
      <c r="Q629" s="18"/>
      <c r="R629" s="18"/>
      <c r="S629" s="18"/>
      <c r="T629" s="18"/>
      <c r="U629" s="18"/>
      <c r="V629" s="18"/>
      <c r="W629" s="18"/>
      <c r="X629" s="18"/>
      <c r="Y629" s="18"/>
      <c r="Z629" s="18"/>
      <c r="AA629" s="18"/>
      <c r="AB629" s="18"/>
      <c r="AC629" s="18"/>
      <c r="AD629" s="18"/>
      <c r="AE629" s="15"/>
      <c r="AF629" s="15"/>
    </row>
    <row r="630" spans="2:32" x14ac:dyDescent="0.25">
      <c r="B630" s="15" t="str">
        <f t="shared" si="28"/>
        <v/>
      </c>
      <c r="D630" s="1" t="str">
        <f t="shared" si="27"/>
        <v/>
      </c>
      <c r="E630" s="21"/>
      <c r="F630" s="7"/>
      <c r="G630" s="19"/>
      <c r="I630" s="1"/>
      <c r="N630" s="1"/>
      <c r="O630" s="1"/>
      <c r="P630" s="6"/>
      <c r="Q630" s="18"/>
      <c r="R630" s="18"/>
      <c r="S630" s="18"/>
      <c r="T630" s="18"/>
      <c r="U630" s="18"/>
      <c r="V630" s="18"/>
      <c r="W630" s="18"/>
      <c r="X630" s="18"/>
      <c r="Y630" s="18"/>
      <c r="Z630" s="18"/>
      <c r="AA630" s="18"/>
      <c r="AB630" s="18"/>
      <c r="AC630" s="18"/>
      <c r="AD630" s="18"/>
      <c r="AE630" s="15"/>
      <c r="AF630" s="15"/>
    </row>
    <row r="631" spans="2:32" x14ac:dyDescent="0.25">
      <c r="B631" s="15" t="str">
        <f t="shared" si="28"/>
        <v/>
      </c>
      <c r="D631" s="1" t="str">
        <f t="shared" si="27"/>
        <v/>
      </c>
      <c r="E631" s="21"/>
      <c r="F631" s="7"/>
      <c r="G631" s="19"/>
      <c r="I631" s="1"/>
      <c r="N631" s="1"/>
      <c r="O631" s="1"/>
      <c r="P631" s="6"/>
      <c r="Q631" s="18"/>
      <c r="R631" s="18"/>
      <c r="S631" s="18"/>
      <c r="T631" s="18"/>
      <c r="U631" s="18"/>
      <c r="V631" s="18"/>
      <c r="W631" s="18"/>
      <c r="X631" s="18"/>
      <c r="Y631" s="18"/>
      <c r="Z631" s="18"/>
      <c r="AA631" s="18"/>
      <c r="AB631" s="18"/>
      <c r="AC631" s="18"/>
      <c r="AD631" s="18"/>
      <c r="AE631" s="15"/>
      <c r="AF631" s="15"/>
    </row>
    <row r="632" spans="2:32" x14ac:dyDescent="0.25">
      <c r="B632" s="15" t="str">
        <f t="shared" si="28"/>
        <v/>
      </c>
      <c r="D632" s="1" t="str">
        <f t="shared" si="27"/>
        <v/>
      </c>
      <c r="E632" s="21"/>
      <c r="F632" s="7"/>
      <c r="G632" s="19"/>
      <c r="I632" s="1"/>
      <c r="N632" s="1"/>
      <c r="O632" s="1"/>
      <c r="P632" s="6"/>
      <c r="Q632" s="18"/>
      <c r="R632" s="18"/>
      <c r="S632" s="18"/>
      <c r="T632" s="18"/>
      <c r="U632" s="18"/>
      <c r="V632" s="18"/>
      <c r="W632" s="18"/>
      <c r="X632" s="18"/>
      <c r="Y632" s="18"/>
      <c r="Z632" s="18"/>
      <c r="AA632" s="18"/>
      <c r="AB632" s="18"/>
      <c r="AC632" s="18"/>
      <c r="AD632" s="18"/>
      <c r="AE632" s="15"/>
      <c r="AF632" s="15"/>
    </row>
    <row r="633" spans="2:32" x14ac:dyDescent="0.25">
      <c r="B633" s="15" t="str">
        <f t="shared" si="28"/>
        <v/>
      </c>
      <c r="D633" s="1" t="str">
        <f t="shared" si="27"/>
        <v/>
      </c>
      <c r="E633" s="21"/>
      <c r="F633" s="7"/>
      <c r="G633" s="19"/>
      <c r="I633" s="1"/>
      <c r="N633" s="1"/>
      <c r="O633" s="1"/>
      <c r="P633" s="6"/>
      <c r="Q633" s="18"/>
      <c r="R633" s="18"/>
      <c r="S633" s="18"/>
      <c r="T633" s="18"/>
      <c r="U633" s="18"/>
      <c r="V633" s="18"/>
      <c r="W633" s="18"/>
      <c r="X633" s="18"/>
      <c r="Y633" s="18"/>
      <c r="Z633" s="18"/>
      <c r="AA633" s="18"/>
      <c r="AB633" s="18"/>
      <c r="AC633" s="18"/>
      <c r="AD633" s="18"/>
      <c r="AE633" s="15"/>
      <c r="AF633" s="15"/>
    </row>
    <row r="634" spans="2:32" x14ac:dyDescent="0.25">
      <c r="B634" s="15" t="str">
        <f t="shared" si="28"/>
        <v/>
      </c>
      <c r="D634" s="1" t="str">
        <f t="shared" si="27"/>
        <v/>
      </c>
      <c r="E634" s="21"/>
      <c r="F634" s="7"/>
      <c r="G634" s="19"/>
      <c r="I634" s="1"/>
      <c r="N634" s="1"/>
      <c r="O634" s="1"/>
      <c r="P634" s="6"/>
      <c r="Q634" s="18"/>
      <c r="R634" s="18"/>
      <c r="S634" s="18"/>
      <c r="T634" s="18"/>
      <c r="U634" s="18"/>
      <c r="V634" s="18"/>
      <c r="W634" s="18"/>
      <c r="X634" s="18"/>
      <c r="Y634" s="18"/>
      <c r="Z634" s="18"/>
      <c r="AA634" s="18"/>
      <c r="AB634" s="18"/>
      <c r="AC634" s="18"/>
      <c r="AD634" s="18"/>
      <c r="AE634" s="15"/>
      <c r="AF634" s="15"/>
    </row>
    <row r="635" spans="2:32" x14ac:dyDescent="0.25">
      <c r="B635" s="15" t="str">
        <f t="shared" si="28"/>
        <v/>
      </c>
      <c r="D635" s="1" t="str">
        <f t="shared" si="27"/>
        <v/>
      </c>
      <c r="E635" s="21"/>
      <c r="F635" s="7"/>
      <c r="G635" s="19"/>
      <c r="I635" s="1"/>
      <c r="N635" s="1"/>
      <c r="O635" s="1"/>
      <c r="P635" s="6"/>
      <c r="Q635" s="18"/>
      <c r="R635" s="18"/>
      <c r="S635" s="18"/>
      <c r="T635" s="18"/>
      <c r="U635" s="18"/>
      <c r="V635" s="18"/>
      <c r="W635" s="18"/>
      <c r="X635" s="18"/>
      <c r="Y635" s="18"/>
      <c r="Z635" s="18"/>
      <c r="AA635" s="18"/>
      <c r="AB635" s="18"/>
      <c r="AC635" s="18"/>
      <c r="AD635" s="18"/>
      <c r="AE635" s="15"/>
      <c r="AF635" s="15"/>
    </row>
    <row r="636" spans="2:32" x14ac:dyDescent="0.25">
      <c r="B636" s="15" t="str">
        <f t="shared" si="28"/>
        <v/>
      </c>
      <c r="D636" s="1" t="str">
        <f t="shared" si="27"/>
        <v/>
      </c>
      <c r="E636" s="21"/>
      <c r="F636" s="7"/>
      <c r="G636" s="19"/>
      <c r="I636" s="1"/>
      <c r="N636" s="1"/>
      <c r="O636" s="1"/>
      <c r="P636" s="6"/>
      <c r="Q636" s="18"/>
      <c r="R636" s="18"/>
      <c r="S636" s="18"/>
      <c r="T636" s="18"/>
      <c r="U636" s="18"/>
      <c r="V636" s="18"/>
      <c r="W636" s="18"/>
      <c r="X636" s="18"/>
      <c r="Y636" s="18"/>
      <c r="Z636" s="18"/>
      <c r="AA636" s="18"/>
      <c r="AB636" s="18"/>
      <c r="AC636" s="18"/>
      <c r="AD636" s="18"/>
      <c r="AE636" s="15"/>
      <c r="AF636" s="15"/>
    </row>
    <row r="637" spans="2:32" x14ac:dyDescent="0.25">
      <c r="B637" s="15" t="str">
        <f t="shared" si="28"/>
        <v/>
      </c>
      <c r="D637" s="1" t="str">
        <f t="shared" si="27"/>
        <v/>
      </c>
      <c r="E637" s="21"/>
      <c r="F637" s="7"/>
      <c r="G637" s="19"/>
      <c r="I637" s="1"/>
      <c r="N637" s="1"/>
      <c r="O637" s="1"/>
      <c r="P637" s="6"/>
      <c r="Q637" s="18"/>
      <c r="R637" s="18"/>
      <c r="S637" s="18"/>
      <c r="T637" s="18"/>
      <c r="U637" s="18"/>
      <c r="V637" s="18"/>
      <c r="W637" s="18"/>
      <c r="X637" s="18"/>
      <c r="Y637" s="18"/>
      <c r="Z637" s="18"/>
      <c r="AA637" s="18"/>
      <c r="AB637" s="18"/>
      <c r="AC637" s="18"/>
      <c r="AD637" s="18"/>
      <c r="AE637" s="15"/>
      <c r="AF637" s="15"/>
    </row>
    <row r="638" spans="2:32" x14ac:dyDescent="0.25">
      <c r="B638" s="15" t="str">
        <f t="shared" si="28"/>
        <v/>
      </c>
      <c r="D638" s="1" t="str">
        <f t="shared" si="27"/>
        <v/>
      </c>
      <c r="E638" s="21"/>
      <c r="F638" s="7"/>
      <c r="G638" s="19"/>
      <c r="I638" s="1"/>
      <c r="N638" s="1"/>
      <c r="O638" s="1"/>
      <c r="P638" s="6"/>
      <c r="Q638" s="18"/>
      <c r="R638" s="18"/>
      <c r="S638" s="18"/>
      <c r="T638" s="18"/>
      <c r="U638" s="18"/>
      <c r="V638" s="18"/>
      <c r="W638" s="18"/>
      <c r="X638" s="18"/>
      <c r="Y638" s="18"/>
      <c r="Z638" s="18"/>
      <c r="AA638" s="18"/>
      <c r="AB638" s="18"/>
      <c r="AC638" s="18"/>
      <c r="AD638" s="18"/>
      <c r="AE638" s="15"/>
      <c r="AF638" s="15"/>
    </row>
    <row r="639" spans="2:32" x14ac:dyDescent="0.25">
      <c r="B639" s="15" t="str">
        <f t="shared" si="28"/>
        <v/>
      </c>
      <c r="D639" s="1" t="str">
        <f t="shared" si="27"/>
        <v/>
      </c>
      <c r="E639" s="21"/>
      <c r="F639" s="7"/>
      <c r="G639" s="19"/>
      <c r="I639" s="1"/>
      <c r="N639" s="1"/>
      <c r="O639" s="1"/>
      <c r="P639" s="6"/>
      <c r="Q639" s="18"/>
      <c r="R639" s="18"/>
      <c r="S639" s="18"/>
      <c r="T639" s="18"/>
      <c r="U639" s="18"/>
      <c r="V639" s="18"/>
      <c r="W639" s="18"/>
      <c r="X639" s="18"/>
      <c r="Y639" s="18"/>
      <c r="Z639" s="18"/>
      <c r="AA639" s="18"/>
      <c r="AB639" s="18"/>
      <c r="AC639" s="18"/>
      <c r="AD639" s="18"/>
      <c r="AE639" s="15"/>
      <c r="AF639" s="15"/>
    </row>
    <row r="640" spans="2:32" x14ac:dyDescent="0.25">
      <c r="B640" s="15" t="str">
        <f t="shared" si="28"/>
        <v/>
      </c>
      <c r="D640" s="1" t="str">
        <f t="shared" si="27"/>
        <v/>
      </c>
      <c r="E640" s="21"/>
      <c r="F640" s="7"/>
      <c r="G640" s="19"/>
      <c r="I640" s="1"/>
      <c r="N640" s="1"/>
      <c r="O640" s="1"/>
      <c r="P640" s="6"/>
      <c r="Q640" s="18"/>
      <c r="R640" s="18"/>
      <c r="S640" s="18"/>
      <c r="T640" s="18"/>
      <c r="U640" s="18"/>
      <c r="V640" s="18"/>
      <c r="W640" s="18"/>
      <c r="X640" s="18"/>
      <c r="Y640" s="18"/>
      <c r="Z640" s="18"/>
      <c r="AA640" s="18"/>
      <c r="AB640" s="18"/>
      <c r="AC640" s="18"/>
      <c r="AD640" s="18"/>
      <c r="AE640" s="15"/>
      <c r="AF640" s="15"/>
    </row>
    <row r="641" spans="2:32" x14ac:dyDescent="0.25">
      <c r="B641" s="15" t="str">
        <f t="shared" si="28"/>
        <v/>
      </c>
      <c r="D641" s="1" t="str">
        <f t="shared" si="27"/>
        <v/>
      </c>
      <c r="E641" s="21"/>
      <c r="F641" s="7"/>
      <c r="G641" s="19"/>
      <c r="I641" s="1"/>
      <c r="N641" s="1"/>
      <c r="O641" s="1"/>
      <c r="P641" s="6"/>
      <c r="Q641" s="18"/>
      <c r="R641" s="18"/>
      <c r="S641" s="18"/>
      <c r="T641" s="18"/>
      <c r="U641" s="18"/>
      <c r="V641" s="18"/>
      <c r="W641" s="18"/>
      <c r="X641" s="18"/>
      <c r="Y641" s="18"/>
      <c r="Z641" s="18"/>
      <c r="AA641" s="18"/>
      <c r="AB641" s="18"/>
      <c r="AC641" s="18"/>
      <c r="AD641" s="18"/>
      <c r="AE641" s="15"/>
      <c r="AF641" s="15"/>
    </row>
    <row r="642" spans="2:32" x14ac:dyDescent="0.25">
      <c r="B642" s="15" t="str">
        <f t="shared" si="28"/>
        <v/>
      </c>
      <c r="D642" s="1" t="str">
        <f t="shared" si="27"/>
        <v/>
      </c>
      <c r="E642" s="21"/>
      <c r="F642" s="7"/>
      <c r="G642" s="19"/>
      <c r="I642" s="1"/>
      <c r="N642" s="1"/>
      <c r="O642" s="1"/>
      <c r="P642" s="6"/>
      <c r="Q642" s="18"/>
      <c r="R642" s="18"/>
      <c r="S642" s="18"/>
      <c r="T642" s="18"/>
      <c r="U642" s="18"/>
      <c r="V642" s="18"/>
      <c r="W642" s="18"/>
      <c r="X642" s="18"/>
      <c r="Y642" s="18"/>
      <c r="Z642" s="18"/>
      <c r="AA642" s="18"/>
      <c r="AB642" s="18"/>
      <c r="AC642" s="18"/>
      <c r="AD642" s="18"/>
      <c r="AE642" s="15"/>
      <c r="AF642" s="15"/>
    </row>
    <row r="643" spans="2:32" x14ac:dyDescent="0.25">
      <c r="B643" s="15" t="str">
        <f t="shared" si="28"/>
        <v/>
      </c>
      <c r="D643" s="1" t="str">
        <f t="shared" ref="D643:D706" si="29">IF(C643=0,"",TEXT($C643,"dddd"))</f>
        <v/>
      </c>
      <c r="E643" s="21"/>
      <c r="F643" s="7"/>
      <c r="G643" s="19"/>
      <c r="I643" s="1"/>
      <c r="N643" s="1"/>
      <c r="O643" s="1"/>
      <c r="P643" s="6"/>
      <c r="Q643" s="18"/>
      <c r="R643" s="18"/>
      <c r="S643" s="18"/>
      <c r="T643" s="18"/>
      <c r="U643" s="18"/>
      <c r="V643" s="18"/>
      <c r="W643" s="18"/>
      <c r="X643" s="18"/>
      <c r="Y643" s="18"/>
      <c r="Z643" s="18"/>
      <c r="AA643" s="18"/>
      <c r="AB643" s="18"/>
      <c r="AC643" s="18"/>
      <c r="AD643" s="18"/>
      <c r="AE643" s="15"/>
      <c r="AF643" s="15"/>
    </row>
    <row r="644" spans="2:32" x14ac:dyDescent="0.25">
      <c r="B644" s="15" t="str">
        <f t="shared" si="28"/>
        <v/>
      </c>
      <c r="D644" s="1" t="str">
        <f t="shared" si="29"/>
        <v/>
      </c>
      <c r="E644" s="21"/>
      <c r="F644" s="7"/>
      <c r="G644" s="19"/>
      <c r="I644" s="1"/>
      <c r="N644" s="1"/>
      <c r="O644" s="1"/>
      <c r="P644" s="6"/>
      <c r="Q644" s="18"/>
      <c r="R644" s="18"/>
      <c r="S644" s="18"/>
      <c r="T644" s="18"/>
      <c r="U644" s="18"/>
      <c r="V644" s="18"/>
      <c r="W644" s="18"/>
      <c r="X644" s="18"/>
      <c r="Y644" s="18"/>
      <c r="Z644" s="18"/>
      <c r="AA644" s="18"/>
      <c r="AB644" s="18"/>
      <c r="AC644" s="18"/>
      <c r="AD644" s="18"/>
      <c r="AE644" s="15"/>
      <c r="AF644" s="15"/>
    </row>
    <row r="645" spans="2:32" x14ac:dyDescent="0.25">
      <c r="B645" s="15" t="str">
        <f t="shared" si="28"/>
        <v/>
      </c>
      <c r="D645" s="1" t="str">
        <f t="shared" si="29"/>
        <v/>
      </c>
      <c r="E645" s="21"/>
      <c r="F645" s="7"/>
      <c r="G645" s="19"/>
      <c r="I645" s="1"/>
      <c r="N645" s="1"/>
      <c r="O645" s="1"/>
      <c r="P645" s="6"/>
      <c r="Q645" s="18"/>
      <c r="R645" s="18"/>
      <c r="S645" s="18"/>
      <c r="T645" s="18"/>
      <c r="U645" s="18"/>
      <c r="V645" s="18"/>
      <c r="W645" s="18"/>
      <c r="X645" s="18"/>
      <c r="Y645" s="18"/>
      <c r="Z645" s="18"/>
      <c r="AA645" s="18"/>
      <c r="AB645" s="18"/>
      <c r="AC645" s="18"/>
      <c r="AD645" s="18"/>
      <c r="AE645" s="15"/>
      <c r="AF645" s="15"/>
    </row>
    <row r="646" spans="2:32" x14ac:dyDescent="0.25">
      <c r="B646" s="15" t="str">
        <f t="shared" si="28"/>
        <v/>
      </c>
      <c r="D646" s="1" t="str">
        <f t="shared" si="29"/>
        <v/>
      </c>
      <c r="E646" s="21"/>
      <c r="F646" s="7"/>
      <c r="G646" s="19"/>
      <c r="I646" s="1"/>
      <c r="N646" s="1"/>
      <c r="O646" s="1"/>
      <c r="P646" s="6"/>
      <c r="Q646" s="18"/>
      <c r="R646" s="18"/>
      <c r="S646" s="18"/>
      <c r="T646" s="18"/>
      <c r="U646" s="18"/>
      <c r="V646" s="18"/>
      <c r="W646" s="18"/>
      <c r="X646" s="18"/>
      <c r="Y646" s="18"/>
      <c r="Z646" s="18"/>
      <c r="AA646" s="18"/>
      <c r="AB646" s="18"/>
      <c r="AC646" s="18"/>
      <c r="AD646" s="18"/>
      <c r="AE646" s="15"/>
      <c r="AF646" s="15"/>
    </row>
    <row r="647" spans="2:32" x14ac:dyDescent="0.25">
      <c r="B647" s="15" t="str">
        <f t="shared" si="28"/>
        <v/>
      </c>
      <c r="D647" s="1" t="str">
        <f t="shared" si="29"/>
        <v/>
      </c>
      <c r="E647" s="21"/>
      <c r="F647" s="7"/>
      <c r="G647" s="19"/>
      <c r="I647" s="1"/>
      <c r="N647" s="1"/>
      <c r="O647" s="1"/>
      <c r="P647" s="6"/>
      <c r="Q647" s="18"/>
      <c r="R647" s="18"/>
      <c r="S647" s="18"/>
      <c r="T647" s="18"/>
      <c r="U647" s="18"/>
      <c r="V647" s="18"/>
      <c r="W647" s="18"/>
      <c r="X647" s="18"/>
      <c r="Y647" s="18"/>
      <c r="Z647" s="18"/>
      <c r="AA647" s="18"/>
      <c r="AB647" s="18"/>
      <c r="AC647" s="18"/>
      <c r="AD647" s="18"/>
      <c r="AE647" s="15"/>
      <c r="AF647" s="15"/>
    </row>
    <row r="648" spans="2:32" x14ac:dyDescent="0.25">
      <c r="B648" s="15" t="str">
        <f t="shared" si="28"/>
        <v/>
      </c>
      <c r="D648" s="1" t="str">
        <f t="shared" si="29"/>
        <v/>
      </c>
      <c r="E648" s="21"/>
      <c r="F648" s="7"/>
      <c r="G648" s="19"/>
      <c r="I648" s="1"/>
      <c r="N648" s="1"/>
      <c r="O648" s="1"/>
      <c r="P648" s="6"/>
      <c r="Q648" s="18"/>
      <c r="R648" s="18"/>
      <c r="S648" s="18"/>
      <c r="T648" s="18"/>
      <c r="U648" s="18"/>
      <c r="V648" s="18"/>
      <c r="W648" s="18"/>
      <c r="X648" s="18"/>
      <c r="Y648" s="18"/>
      <c r="Z648" s="18"/>
      <c r="AA648" s="18"/>
      <c r="AB648" s="18"/>
      <c r="AC648" s="18"/>
      <c r="AD648" s="18"/>
      <c r="AE648" s="15"/>
      <c r="AF648" s="15"/>
    </row>
    <row r="649" spans="2:32" x14ac:dyDescent="0.25">
      <c r="B649" s="15" t="str">
        <f t="shared" si="28"/>
        <v/>
      </c>
      <c r="D649" s="1" t="str">
        <f t="shared" si="29"/>
        <v/>
      </c>
      <c r="E649" s="21"/>
      <c r="F649" s="7"/>
      <c r="G649" s="19"/>
      <c r="I649" s="1"/>
      <c r="N649" s="1"/>
      <c r="O649" s="1"/>
      <c r="P649" s="6"/>
      <c r="Q649" s="18"/>
      <c r="R649" s="18"/>
      <c r="S649" s="18"/>
      <c r="T649" s="18"/>
      <c r="U649" s="18"/>
      <c r="V649" s="18"/>
      <c r="W649" s="18"/>
      <c r="X649" s="18"/>
      <c r="Y649" s="18"/>
      <c r="Z649" s="18"/>
      <c r="AA649" s="18"/>
      <c r="AB649" s="18"/>
      <c r="AC649" s="18"/>
      <c r="AD649" s="18"/>
      <c r="AE649" s="15"/>
      <c r="AF649" s="15"/>
    </row>
    <row r="650" spans="2:32" x14ac:dyDescent="0.25">
      <c r="B650" s="15" t="str">
        <f t="shared" si="28"/>
        <v/>
      </c>
      <c r="D650" s="1" t="str">
        <f t="shared" si="29"/>
        <v/>
      </c>
      <c r="E650" s="21"/>
      <c r="F650" s="7"/>
      <c r="G650" s="19"/>
      <c r="I650" s="1"/>
      <c r="N650" s="1"/>
      <c r="O650" s="1"/>
      <c r="P650" s="6"/>
      <c r="Q650" s="18"/>
      <c r="R650" s="18"/>
      <c r="S650" s="18"/>
      <c r="T650" s="18"/>
      <c r="U650" s="18"/>
      <c r="V650" s="18"/>
      <c r="W650" s="18"/>
      <c r="X650" s="18"/>
      <c r="Y650" s="18"/>
      <c r="Z650" s="18"/>
      <c r="AA650" s="18"/>
      <c r="AB650" s="18"/>
      <c r="AC650" s="18"/>
      <c r="AD650" s="18"/>
      <c r="AE650" s="15"/>
      <c r="AF650" s="15"/>
    </row>
    <row r="651" spans="2:32" x14ac:dyDescent="0.25">
      <c r="B651" s="15" t="str">
        <f t="shared" si="28"/>
        <v/>
      </c>
      <c r="D651" s="1" t="str">
        <f t="shared" si="29"/>
        <v/>
      </c>
      <c r="E651" s="21"/>
      <c r="F651" s="7"/>
      <c r="G651" s="19"/>
      <c r="I651" s="1"/>
      <c r="N651" s="1"/>
      <c r="O651" s="1"/>
      <c r="P651" s="6"/>
      <c r="Q651" s="18"/>
      <c r="R651" s="18"/>
      <c r="S651" s="18"/>
      <c r="T651" s="18"/>
      <c r="U651" s="18"/>
      <c r="V651" s="18"/>
      <c r="W651" s="18"/>
      <c r="X651" s="18"/>
      <c r="Y651" s="18"/>
      <c r="Z651" s="18"/>
      <c r="AA651" s="18"/>
      <c r="AB651" s="18"/>
      <c r="AC651" s="18"/>
      <c r="AD651" s="18"/>
      <c r="AE651" s="15"/>
      <c r="AF651" s="15"/>
    </row>
    <row r="652" spans="2:32" x14ac:dyDescent="0.25">
      <c r="B652" s="15" t="str">
        <f t="shared" si="28"/>
        <v/>
      </c>
      <c r="D652" s="1" t="str">
        <f t="shared" si="29"/>
        <v/>
      </c>
      <c r="E652" s="21"/>
      <c r="F652" s="7"/>
      <c r="G652" s="19"/>
      <c r="I652" s="1"/>
      <c r="N652" s="1"/>
      <c r="O652" s="1"/>
      <c r="P652" s="6"/>
      <c r="Q652" s="18"/>
      <c r="R652" s="18"/>
      <c r="S652" s="18"/>
      <c r="T652" s="18"/>
      <c r="U652" s="18"/>
      <c r="V652" s="18"/>
      <c r="W652" s="18"/>
      <c r="X652" s="18"/>
      <c r="Y652" s="18"/>
      <c r="Z652" s="18"/>
      <c r="AA652" s="18"/>
      <c r="AB652" s="18"/>
      <c r="AC652" s="18"/>
      <c r="AD652" s="18"/>
      <c r="AE652" s="15"/>
      <c r="AF652" s="15"/>
    </row>
    <row r="653" spans="2:32" x14ac:dyDescent="0.25">
      <c r="B653" s="15" t="str">
        <f t="shared" ref="B653:B716" si="30">IF($B$2=0,"",TEXT($B$2,""))</f>
        <v/>
      </c>
      <c r="D653" s="1" t="str">
        <f t="shared" si="29"/>
        <v/>
      </c>
      <c r="E653" s="21"/>
      <c r="F653" s="7"/>
      <c r="G653" s="19"/>
      <c r="I653" s="1"/>
      <c r="N653" s="1"/>
      <c r="O653" s="1"/>
      <c r="P653" s="6"/>
      <c r="Q653" s="18"/>
      <c r="R653" s="18"/>
      <c r="S653" s="18"/>
      <c r="T653" s="18"/>
      <c r="U653" s="18"/>
      <c r="V653" s="18"/>
      <c r="W653" s="18"/>
      <c r="X653" s="18"/>
      <c r="Y653" s="18"/>
      <c r="Z653" s="18"/>
      <c r="AA653" s="18"/>
      <c r="AB653" s="18"/>
      <c r="AC653" s="18"/>
      <c r="AD653" s="18"/>
      <c r="AE653" s="15"/>
      <c r="AF653" s="15"/>
    </row>
    <row r="654" spans="2:32" x14ac:dyDescent="0.25">
      <c r="B654" s="15" t="str">
        <f t="shared" si="30"/>
        <v/>
      </c>
      <c r="D654" s="1" t="str">
        <f t="shared" si="29"/>
        <v/>
      </c>
      <c r="E654" s="21"/>
      <c r="F654" s="7"/>
      <c r="G654" s="19"/>
      <c r="I654" s="1"/>
      <c r="N654" s="1"/>
      <c r="O654" s="1"/>
      <c r="P654" s="6"/>
      <c r="Q654" s="18"/>
      <c r="R654" s="18"/>
      <c r="S654" s="18"/>
      <c r="T654" s="18"/>
      <c r="U654" s="18"/>
      <c r="V654" s="18"/>
      <c r="W654" s="18"/>
      <c r="X654" s="18"/>
      <c r="Y654" s="18"/>
      <c r="Z654" s="18"/>
      <c r="AA654" s="18"/>
      <c r="AB654" s="18"/>
      <c r="AC654" s="18"/>
      <c r="AD654" s="18"/>
      <c r="AE654" s="15"/>
      <c r="AF654" s="15"/>
    </row>
    <row r="655" spans="2:32" x14ac:dyDescent="0.25">
      <c r="B655" s="15" t="str">
        <f t="shared" si="30"/>
        <v/>
      </c>
      <c r="D655" s="1" t="str">
        <f t="shared" si="29"/>
        <v/>
      </c>
      <c r="E655" s="21"/>
      <c r="F655" s="7"/>
      <c r="G655" s="19"/>
      <c r="I655" s="1"/>
      <c r="N655" s="1"/>
      <c r="O655" s="1"/>
      <c r="P655" s="6"/>
      <c r="Q655" s="18"/>
      <c r="R655" s="18"/>
      <c r="S655" s="18"/>
      <c r="T655" s="18"/>
      <c r="U655" s="18"/>
      <c r="V655" s="18"/>
      <c r="W655" s="18"/>
      <c r="X655" s="18"/>
      <c r="Y655" s="18"/>
      <c r="Z655" s="18"/>
      <c r="AA655" s="18"/>
      <c r="AB655" s="18"/>
      <c r="AC655" s="18"/>
      <c r="AD655" s="18"/>
      <c r="AE655" s="15"/>
      <c r="AF655" s="15"/>
    </row>
    <row r="656" spans="2:32" x14ac:dyDescent="0.25">
      <c r="B656" s="15" t="str">
        <f t="shared" si="30"/>
        <v/>
      </c>
      <c r="D656" s="1" t="str">
        <f t="shared" si="29"/>
        <v/>
      </c>
      <c r="E656" s="21"/>
      <c r="F656" s="7"/>
      <c r="G656" s="19"/>
      <c r="I656" s="1"/>
      <c r="N656" s="1"/>
      <c r="O656" s="1"/>
      <c r="P656" s="6"/>
      <c r="Q656" s="18"/>
      <c r="R656" s="18"/>
      <c r="S656" s="18"/>
      <c r="T656" s="18"/>
      <c r="U656" s="18"/>
      <c r="V656" s="18"/>
      <c r="W656" s="18"/>
      <c r="X656" s="18"/>
      <c r="Y656" s="18"/>
      <c r="Z656" s="18"/>
      <c r="AA656" s="18"/>
      <c r="AB656" s="18"/>
      <c r="AC656" s="18"/>
      <c r="AD656" s="18"/>
      <c r="AE656" s="15"/>
      <c r="AF656" s="15"/>
    </row>
    <row r="657" spans="2:32" x14ac:dyDescent="0.25">
      <c r="B657" s="15" t="str">
        <f t="shared" si="30"/>
        <v/>
      </c>
      <c r="D657" s="1" t="str">
        <f t="shared" si="29"/>
        <v/>
      </c>
      <c r="E657" s="21"/>
      <c r="F657" s="7"/>
      <c r="G657" s="19"/>
      <c r="I657" s="1"/>
      <c r="N657" s="1"/>
      <c r="O657" s="1"/>
      <c r="P657" s="6"/>
      <c r="Q657" s="18"/>
      <c r="R657" s="18"/>
      <c r="S657" s="18"/>
      <c r="T657" s="18"/>
      <c r="U657" s="18"/>
      <c r="V657" s="18"/>
      <c r="W657" s="18"/>
      <c r="X657" s="18"/>
      <c r="Y657" s="18"/>
      <c r="Z657" s="18"/>
      <c r="AA657" s="18"/>
      <c r="AB657" s="18"/>
      <c r="AC657" s="18"/>
      <c r="AD657" s="18"/>
      <c r="AE657" s="15"/>
      <c r="AF657" s="15"/>
    </row>
    <row r="658" spans="2:32" x14ac:dyDescent="0.25">
      <c r="B658" s="15" t="str">
        <f t="shared" si="30"/>
        <v/>
      </c>
      <c r="D658" s="1" t="str">
        <f t="shared" si="29"/>
        <v/>
      </c>
      <c r="E658" s="21"/>
      <c r="F658" s="7"/>
      <c r="G658" s="19"/>
      <c r="I658" s="1"/>
      <c r="N658" s="1"/>
      <c r="O658" s="1"/>
      <c r="P658" s="6"/>
      <c r="Q658" s="18"/>
      <c r="R658" s="18"/>
      <c r="S658" s="18"/>
      <c r="T658" s="18"/>
      <c r="U658" s="18"/>
      <c r="V658" s="18"/>
      <c r="W658" s="18"/>
      <c r="X658" s="18"/>
      <c r="Y658" s="18"/>
      <c r="Z658" s="18"/>
      <c r="AA658" s="18"/>
      <c r="AB658" s="18"/>
      <c r="AC658" s="18"/>
      <c r="AD658" s="18"/>
      <c r="AE658" s="15"/>
      <c r="AF658" s="15"/>
    </row>
    <row r="659" spans="2:32" x14ac:dyDescent="0.25">
      <c r="B659" s="15" t="str">
        <f t="shared" si="30"/>
        <v/>
      </c>
      <c r="D659" s="1" t="str">
        <f t="shared" si="29"/>
        <v/>
      </c>
      <c r="E659" s="21"/>
      <c r="F659" s="7"/>
      <c r="G659" s="19"/>
      <c r="I659" s="1"/>
      <c r="N659" s="1"/>
      <c r="O659" s="1"/>
      <c r="P659" s="6"/>
      <c r="Q659" s="18"/>
      <c r="R659" s="18"/>
      <c r="S659" s="18"/>
      <c r="T659" s="18"/>
      <c r="U659" s="18"/>
      <c r="V659" s="18"/>
      <c r="W659" s="18"/>
      <c r="X659" s="18"/>
      <c r="Y659" s="18"/>
      <c r="Z659" s="18"/>
      <c r="AA659" s="18"/>
      <c r="AB659" s="18"/>
      <c r="AC659" s="18"/>
      <c r="AD659" s="18"/>
      <c r="AE659" s="15"/>
      <c r="AF659" s="15"/>
    </row>
    <row r="660" spans="2:32" x14ac:dyDescent="0.25">
      <c r="B660" s="15" t="str">
        <f t="shared" si="30"/>
        <v/>
      </c>
      <c r="D660" s="1" t="str">
        <f t="shared" si="29"/>
        <v/>
      </c>
      <c r="E660" s="21"/>
      <c r="F660" s="7"/>
      <c r="G660" s="19"/>
      <c r="I660" s="1"/>
      <c r="N660" s="1"/>
      <c r="O660" s="1"/>
      <c r="P660" s="6"/>
      <c r="Q660" s="18"/>
      <c r="R660" s="18"/>
      <c r="S660" s="18"/>
      <c r="T660" s="18"/>
      <c r="U660" s="18"/>
      <c r="V660" s="18"/>
      <c r="W660" s="18"/>
      <c r="X660" s="18"/>
      <c r="Y660" s="18"/>
      <c r="Z660" s="18"/>
      <c r="AA660" s="18"/>
      <c r="AB660" s="18"/>
      <c r="AC660" s="18"/>
      <c r="AD660" s="18"/>
      <c r="AE660" s="15"/>
      <c r="AF660" s="15"/>
    </row>
    <row r="661" spans="2:32" x14ac:dyDescent="0.25">
      <c r="B661" s="15" t="str">
        <f t="shared" si="30"/>
        <v/>
      </c>
      <c r="D661" s="1" t="str">
        <f t="shared" si="29"/>
        <v/>
      </c>
      <c r="E661" s="21"/>
      <c r="F661" s="7"/>
      <c r="G661" s="19"/>
      <c r="I661" s="1"/>
      <c r="N661" s="1"/>
      <c r="O661" s="1"/>
      <c r="P661" s="6"/>
      <c r="Q661" s="18"/>
      <c r="R661" s="18"/>
      <c r="S661" s="18"/>
      <c r="T661" s="18"/>
      <c r="U661" s="18"/>
      <c r="V661" s="18"/>
      <c r="W661" s="18"/>
      <c r="X661" s="18"/>
      <c r="Y661" s="18"/>
      <c r="Z661" s="18"/>
      <c r="AA661" s="18"/>
      <c r="AB661" s="18"/>
      <c r="AC661" s="18"/>
      <c r="AD661" s="18"/>
      <c r="AE661" s="15"/>
      <c r="AF661" s="15"/>
    </row>
    <row r="662" spans="2:32" x14ac:dyDescent="0.25">
      <c r="B662" s="15" t="str">
        <f t="shared" si="30"/>
        <v/>
      </c>
      <c r="D662" s="1" t="str">
        <f t="shared" si="29"/>
        <v/>
      </c>
      <c r="E662" s="21"/>
      <c r="F662" s="7"/>
      <c r="G662" s="19"/>
      <c r="I662" s="1"/>
      <c r="N662" s="1"/>
      <c r="O662" s="1"/>
      <c r="P662" s="6"/>
      <c r="Q662" s="18"/>
      <c r="R662" s="18"/>
      <c r="S662" s="18"/>
      <c r="T662" s="18"/>
      <c r="U662" s="18"/>
      <c r="V662" s="18"/>
      <c r="W662" s="18"/>
      <c r="X662" s="18"/>
      <c r="Y662" s="18"/>
      <c r="Z662" s="18"/>
      <c r="AA662" s="18"/>
      <c r="AB662" s="18"/>
      <c r="AC662" s="18"/>
      <c r="AD662" s="18"/>
      <c r="AE662" s="15"/>
      <c r="AF662" s="15"/>
    </row>
    <row r="663" spans="2:32" x14ac:dyDescent="0.25">
      <c r="B663" s="15" t="str">
        <f t="shared" si="30"/>
        <v/>
      </c>
      <c r="D663" s="1" t="str">
        <f t="shared" si="29"/>
        <v/>
      </c>
      <c r="E663" s="21"/>
      <c r="F663" s="7"/>
      <c r="G663" s="19"/>
      <c r="I663" s="1"/>
      <c r="N663" s="1"/>
      <c r="O663" s="1"/>
      <c r="P663" s="6"/>
      <c r="Q663" s="18"/>
      <c r="R663" s="18"/>
      <c r="S663" s="18"/>
      <c r="T663" s="18"/>
      <c r="U663" s="18"/>
      <c r="V663" s="18"/>
      <c r="W663" s="18"/>
      <c r="X663" s="18"/>
      <c r="Y663" s="18"/>
      <c r="Z663" s="18"/>
      <c r="AA663" s="18"/>
      <c r="AB663" s="18"/>
      <c r="AC663" s="18"/>
      <c r="AD663" s="18"/>
      <c r="AE663" s="15"/>
      <c r="AF663" s="15"/>
    </row>
    <row r="664" spans="2:32" x14ac:dyDescent="0.25">
      <c r="B664" s="15" t="str">
        <f t="shared" si="30"/>
        <v/>
      </c>
      <c r="D664" s="1" t="str">
        <f t="shared" si="29"/>
        <v/>
      </c>
      <c r="E664" s="21"/>
      <c r="F664" s="7"/>
      <c r="G664" s="19"/>
      <c r="I664" s="1"/>
      <c r="N664" s="1"/>
      <c r="O664" s="1"/>
      <c r="P664" s="6"/>
      <c r="Q664" s="18"/>
      <c r="R664" s="18"/>
      <c r="S664" s="18"/>
      <c r="T664" s="18"/>
      <c r="U664" s="18"/>
      <c r="V664" s="18"/>
      <c r="W664" s="18"/>
      <c r="X664" s="18"/>
      <c r="Y664" s="18"/>
      <c r="Z664" s="18"/>
      <c r="AA664" s="18"/>
      <c r="AB664" s="18"/>
      <c r="AC664" s="18"/>
      <c r="AD664" s="18"/>
      <c r="AE664" s="15"/>
      <c r="AF664" s="15"/>
    </row>
    <row r="665" spans="2:32" x14ac:dyDescent="0.25">
      <c r="B665" s="15" t="str">
        <f t="shared" si="30"/>
        <v/>
      </c>
      <c r="D665" s="1" t="str">
        <f t="shared" si="29"/>
        <v/>
      </c>
      <c r="E665" s="21"/>
      <c r="F665" s="7"/>
      <c r="G665" s="19"/>
      <c r="I665" s="1"/>
      <c r="N665" s="1"/>
      <c r="O665" s="1"/>
      <c r="P665" s="6"/>
      <c r="Q665" s="18"/>
      <c r="R665" s="18"/>
      <c r="S665" s="18"/>
      <c r="T665" s="18"/>
      <c r="U665" s="18"/>
      <c r="V665" s="18"/>
      <c r="W665" s="18"/>
      <c r="X665" s="18"/>
      <c r="Y665" s="18"/>
      <c r="Z665" s="18"/>
      <c r="AA665" s="18"/>
      <c r="AB665" s="18"/>
      <c r="AC665" s="18"/>
      <c r="AD665" s="18"/>
      <c r="AE665" s="15"/>
      <c r="AF665" s="15"/>
    </row>
    <row r="666" spans="2:32" x14ac:dyDescent="0.25">
      <c r="B666" s="15" t="str">
        <f t="shared" si="30"/>
        <v/>
      </c>
      <c r="D666" s="1" t="str">
        <f t="shared" si="29"/>
        <v/>
      </c>
      <c r="E666" s="21"/>
      <c r="F666" s="7"/>
      <c r="G666" s="19"/>
      <c r="I666" s="1"/>
      <c r="N666" s="1"/>
      <c r="O666" s="1"/>
      <c r="P666" s="6"/>
      <c r="Q666" s="18"/>
      <c r="R666" s="18"/>
      <c r="S666" s="18"/>
      <c r="T666" s="18"/>
      <c r="U666" s="18"/>
      <c r="V666" s="18"/>
      <c r="W666" s="18"/>
      <c r="X666" s="18"/>
      <c r="Y666" s="18"/>
      <c r="Z666" s="18"/>
      <c r="AA666" s="18"/>
      <c r="AB666" s="18"/>
      <c r="AC666" s="18"/>
      <c r="AD666" s="18"/>
      <c r="AE666" s="15"/>
      <c r="AF666" s="15"/>
    </row>
    <row r="667" spans="2:32" x14ac:dyDescent="0.25">
      <c r="B667" s="15" t="str">
        <f t="shared" si="30"/>
        <v/>
      </c>
      <c r="D667" s="1" t="str">
        <f t="shared" si="29"/>
        <v/>
      </c>
      <c r="E667" s="21"/>
      <c r="F667" s="7"/>
      <c r="G667" s="19"/>
      <c r="I667" s="1"/>
      <c r="N667" s="1"/>
      <c r="O667" s="1"/>
      <c r="P667" s="6"/>
      <c r="Q667" s="18"/>
      <c r="R667" s="18"/>
      <c r="S667" s="18"/>
      <c r="T667" s="18"/>
      <c r="U667" s="18"/>
      <c r="V667" s="18"/>
      <c r="W667" s="18"/>
      <c r="X667" s="18"/>
      <c r="Y667" s="18"/>
      <c r="Z667" s="18"/>
      <c r="AA667" s="18"/>
      <c r="AB667" s="18"/>
      <c r="AC667" s="18"/>
      <c r="AD667" s="18"/>
      <c r="AE667" s="15"/>
      <c r="AF667" s="15"/>
    </row>
    <row r="668" spans="2:32" x14ac:dyDescent="0.25">
      <c r="B668" s="15" t="str">
        <f t="shared" si="30"/>
        <v/>
      </c>
      <c r="D668" s="1" t="str">
        <f t="shared" si="29"/>
        <v/>
      </c>
      <c r="E668" s="21"/>
      <c r="F668" s="7"/>
      <c r="G668" s="19"/>
      <c r="I668" s="1"/>
      <c r="N668" s="1"/>
      <c r="O668" s="1"/>
      <c r="P668" s="6"/>
      <c r="Q668" s="18"/>
      <c r="R668" s="18"/>
      <c r="S668" s="18"/>
      <c r="T668" s="18"/>
      <c r="U668" s="18"/>
      <c r="V668" s="18"/>
      <c r="W668" s="18"/>
      <c r="X668" s="18"/>
      <c r="Y668" s="18"/>
      <c r="Z668" s="18"/>
      <c r="AA668" s="18"/>
      <c r="AB668" s="18"/>
      <c r="AC668" s="18"/>
      <c r="AD668" s="18"/>
      <c r="AE668" s="15"/>
      <c r="AF668" s="15"/>
    </row>
    <row r="669" spans="2:32" x14ac:dyDescent="0.25">
      <c r="B669" s="15" t="str">
        <f t="shared" si="30"/>
        <v/>
      </c>
      <c r="D669" s="1" t="str">
        <f t="shared" si="29"/>
        <v/>
      </c>
      <c r="E669" s="21"/>
      <c r="F669" s="7"/>
      <c r="G669" s="19"/>
      <c r="I669" s="1"/>
      <c r="N669" s="1"/>
      <c r="O669" s="1"/>
      <c r="P669" s="6"/>
      <c r="Q669" s="18"/>
      <c r="R669" s="18"/>
      <c r="S669" s="18"/>
      <c r="T669" s="18"/>
      <c r="U669" s="18"/>
      <c r="V669" s="18"/>
      <c r="W669" s="18"/>
      <c r="X669" s="18"/>
      <c r="Y669" s="18"/>
      <c r="Z669" s="18"/>
      <c r="AA669" s="18"/>
      <c r="AB669" s="18"/>
      <c r="AC669" s="18"/>
      <c r="AD669" s="18"/>
      <c r="AE669" s="15"/>
      <c r="AF669" s="15"/>
    </row>
    <row r="670" spans="2:32" x14ac:dyDescent="0.25">
      <c r="B670" s="15" t="str">
        <f t="shared" si="30"/>
        <v/>
      </c>
      <c r="D670" s="1" t="str">
        <f t="shared" si="29"/>
        <v/>
      </c>
      <c r="E670" s="21"/>
      <c r="F670" s="7"/>
      <c r="G670" s="19"/>
      <c r="I670" s="1"/>
      <c r="N670" s="1"/>
      <c r="O670" s="1"/>
      <c r="P670" s="6"/>
      <c r="Q670" s="18"/>
      <c r="R670" s="18"/>
      <c r="S670" s="18"/>
      <c r="T670" s="18"/>
      <c r="U670" s="18"/>
      <c r="V670" s="18"/>
      <c r="W670" s="18"/>
      <c r="X670" s="18"/>
      <c r="Y670" s="18"/>
      <c r="Z670" s="18"/>
      <c r="AA670" s="18"/>
      <c r="AB670" s="18"/>
      <c r="AC670" s="18"/>
      <c r="AD670" s="18"/>
      <c r="AE670" s="15"/>
      <c r="AF670" s="15"/>
    </row>
    <row r="671" spans="2:32" x14ac:dyDescent="0.25">
      <c r="B671" s="15" t="str">
        <f t="shared" si="30"/>
        <v/>
      </c>
      <c r="D671" s="1" t="str">
        <f t="shared" si="29"/>
        <v/>
      </c>
      <c r="E671" s="21"/>
      <c r="F671" s="7"/>
      <c r="G671" s="19"/>
      <c r="I671" s="1"/>
      <c r="N671" s="1"/>
      <c r="O671" s="1"/>
      <c r="P671" s="6"/>
      <c r="Q671" s="18"/>
      <c r="R671" s="18"/>
      <c r="S671" s="18"/>
      <c r="T671" s="18"/>
      <c r="U671" s="18"/>
      <c r="V671" s="18"/>
      <c r="W671" s="18"/>
      <c r="X671" s="18"/>
      <c r="Y671" s="18"/>
      <c r="Z671" s="18"/>
      <c r="AA671" s="18"/>
      <c r="AB671" s="18"/>
      <c r="AC671" s="18"/>
      <c r="AD671" s="18"/>
      <c r="AE671" s="15"/>
      <c r="AF671" s="15"/>
    </row>
    <row r="672" spans="2:32" x14ac:dyDescent="0.25">
      <c r="B672" s="15" t="str">
        <f t="shared" si="30"/>
        <v/>
      </c>
      <c r="D672" s="1" t="str">
        <f t="shared" si="29"/>
        <v/>
      </c>
      <c r="E672" s="21"/>
      <c r="F672" s="7"/>
      <c r="G672" s="19"/>
      <c r="I672" s="1"/>
      <c r="N672" s="1"/>
      <c r="O672" s="1"/>
      <c r="P672" s="6"/>
      <c r="Q672" s="18"/>
      <c r="R672" s="18"/>
      <c r="S672" s="18"/>
      <c r="T672" s="18"/>
      <c r="U672" s="18"/>
      <c r="V672" s="18"/>
      <c r="W672" s="18"/>
      <c r="X672" s="18"/>
      <c r="Y672" s="18"/>
      <c r="Z672" s="18"/>
      <c r="AA672" s="18"/>
      <c r="AB672" s="18"/>
      <c r="AC672" s="18"/>
      <c r="AD672" s="18"/>
      <c r="AE672" s="15"/>
      <c r="AF672" s="15"/>
    </row>
    <row r="673" spans="2:32" x14ac:dyDescent="0.25">
      <c r="B673" s="15" t="str">
        <f t="shared" si="30"/>
        <v/>
      </c>
      <c r="D673" s="1" t="str">
        <f t="shared" si="29"/>
        <v/>
      </c>
      <c r="E673" s="21"/>
      <c r="F673" s="7"/>
      <c r="G673" s="19"/>
      <c r="I673" s="1"/>
      <c r="N673" s="1"/>
      <c r="O673" s="1"/>
      <c r="P673" s="6"/>
      <c r="Q673" s="18"/>
      <c r="R673" s="18"/>
      <c r="S673" s="18"/>
      <c r="T673" s="18"/>
      <c r="U673" s="18"/>
      <c r="V673" s="18"/>
      <c r="W673" s="18"/>
      <c r="X673" s="18"/>
      <c r="Y673" s="18"/>
      <c r="Z673" s="18"/>
      <c r="AA673" s="18"/>
      <c r="AB673" s="18"/>
      <c r="AC673" s="18"/>
      <c r="AD673" s="18"/>
      <c r="AE673" s="15"/>
      <c r="AF673" s="15"/>
    </row>
    <row r="674" spans="2:32" x14ac:dyDescent="0.25">
      <c r="B674" s="15" t="str">
        <f t="shared" si="30"/>
        <v/>
      </c>
      <c r="D674" s="1" t="str">
        <f t="shared" si="29"/>
        <v/>
      </c>
      <c r="E674" s="21"/>
      <c r="F674" s="7"/>
      <c r="G674" s="19"/>
      <c r="I674" s="1"/>
      <c r="N674" s="1"/>
      <c r="O674" s="1"/>
      <c r="P674" s="6"/>
      <c r="Q674" s="18"/>
      <c r="R674" s="18"/>
      <c r="S674" s="18"/>
      <c r="T674" s="18"/>
      <c r="U674" s="18"/>
      <c r="V674" s="18"/>
      <c r="W674" s="18"/>
      <c r="X674" s="18"/>
      <c r="Y674" s="18"/>
      <c r="Z674" s="18"/>
      <c r="AA674" s="18"/>
      <c r="AB674" s="18"/>
      <c r="AC674" s="18"/>
      <c r="AD674" s="18"/>
      <c r="AE674" s="15"/>
      <c r="AF674" s="15"/>
    </row>
    <row r="675" spans="2:32" x14ac:dyDescent="0.25">
      <c r="B675" s="15" t="str">
        <f t="shared" si="30"/>
        <v/>
      </c>
      <c r="D675" s="1" t="str">
        <f t="shared" si="29"/>
        <v/>
      </c>
      <c r="E675" s="21"/>
      <c r="F675" s="7"/>
      <c r="G675" s="19"/>
      <c r="I675" s="1"/>
      <c r="N675" s="1"/>
      <c r="O675" s="1"/>
      <c r="P675" s="6"/>
      <c r="Q675" s="18"/>
      <c r="R675" s="18"/>
      <c r="S675" s="18"/>
      <c r="T675" s="18"/>
      <c r="U675" s="18"/>
      <c r="V675" s="18"/>
      <c r="W675" s="18"/>
      <c r="X675" s="18"/>
      <c r="Y675" s="18"/>
      <c r="Z675" s="18"/>
      <c r="AA675" s="18"/>
      <c r="AB675" s="18"/>
      <c r="AC675" s="18"/>
      <c r="AD675" s="18"/>
      <c r="AE675" s="15"/>
      <c r="AF675" s="15"/>
    </row>
    <row r="676" spans="2:32" x14ac:dyDescent="0.25">
      <c r="B676" s="15" t="str">
        <f t="shared" si="30"/>
        <v/>
      </c>
      <c r="D676" s="1" t="str">
        <f t="shared" si="29"/>
        <v/>
      </c>
      <c r="E676" s="21"/>
      <c r="F676" s="7"/>
      <c r="G676" s="19"/>
      <c r="I676" s="1"/>
      <c r="N676" s="1"/>
      <c r="O676" s="1"/>
      <c r="P676" s="6"/>
      <c r="Q676" s="18"/>
      <c r="R676" s="18"/>
      <c r="S676" s="18"/>
      <c r="T676" s="18"/>
      <c r="U676" s="18"/>
      <c r="V676" s="18"/>
      <c r="W676" s="18"/>
      <c r="X676" s="18"/>
      <c r="Y676" s="18"/>
      <c r="Z676" s="18"/>
      <c r="AA676" s="18"/>
      <c r="AB676" s="18"/>
      <c r="AC676" s="18"/>
      <c r="AD676" s="18"/>
      <c r="AE676" s="15"/>
      <c r="AF676" s="15"/>
    </row>
    <row r="677" spans="2:32" x14ac:dyDescent="0.25">
      <c r="B677" s="15" t="str">
        <f t="shared" si="30"/>
        <v/>
      </c>
      <c r="D677" s="1" t="str">
        <f t="shared" si="29"/>
        <v/>
      </c>
      <c r="E677" s="21"/>
      <c r="F677" s="7"/>
      <c r="G677" s="19"/>
      <c r="I677" s="1"/>
      <c r="N677" s="1"/>
      <c r="O677" s="1"/>
      <c r="P677" s="6"/>
      <c r="Q677" s="18"/>
      <c r="R677" s="18"/>
      <c r="S677" s="18"/>
      <c r="T677" s="18"/>
      <c r="U677" s="18"/>
      <c r="V677" s="18"/>
      <c r="W677" s="18"/>
      <c r="X677" s="18"/>
      <c r="Y677" s="18"/>
      <c r="Z677" s="18"/>
      <c r="AA677" s="18"/>
      <c r="AB677" s="18"/>
      <c r="AC677" s="18"/>
      <c r="AD677" s="18"/>
      <c r="AE677" s="15"/>
      <c r="AF677" s="15"/>
    </row>
    <row r="678" spans="2:32" x14ac:dyDescent="0.25">
      <c r="B678" s="15" t="str">
        <f t="shared" si="30"/>
        <v/>
      </c>
      <c r="D678" s="1" t="str">
        <f t="shared" si="29"/>
        <v/>
      </c>
      <c r="E678" s="21"/>
      <c r="F678" s="7"/>
      <c r="G678" s="19"/>
      <c r="I678" s="1"/>
      <c r="N678" s="1"/>
      <c r="O678" s="1"/>
      <c r="P678" s="6"/>
      <c r="Q678" s="18"/>
      <c r="R678" s="18"/>
      <c r="S678" s="18"/>
      <c r="T678" s="18"/>
      <c r="U678" s="18"/>
      <c r="V678" s="18"/>
      <c r="W678" s="18"/>
      <c r="X678" s="18"/>
      <c r="Y678" s="18"/>
      <c r="Z678" s="18"/>
      <c r="AA678" s="18"/>
      <c r="AB678" s="18"/>
      <c r="AC678" s="18"/>
      <c r="AD678" s="18"/>
      <c r="AE678" s="15"/>
      <c r="AF678" s="15"/>
    </row>
    <row r="679" spans="2:32" x14ac:dyDescent="0.25">
      <c r="B679" s="15" t="str">
        <f t="shared" si="30"/>
        <v/>
      </c>
      <c r="D679" s="1" t="str">
        <f t="shared" si="29"/>
        <v/>
      </c>
      <c r="E679" s="21"/>
      <c r="F679" s="7"/>
      <c r="G679" s="19"/>
      <c r="I679" s="1"/>
      <c r="N679" s="1"/>
      <c r="O679" s="1"/>
      <c r="P679" s="6"/>
      <c r="Q679" s="18"/>
      <c r="R679" s="18"/>
      <c r="S679" s="18"/>
      <c r="T679" s="18"/>
      <c r="U679" s="18"/>
      <c r="V679" s="18"/>
      <c r="W679" s="18"/>
      <c r="X679" s="18"/>
      <c r="Y679" s="18"/>
      <c r="Z679" s="18"/>
      <c r="AA679" s="18"/>
      <c r="AB679" s="18"/>
      <c r="AC679" s="18"/>
      <c r="AD679" s="18"/>
      <c r="AE679" s="15"/>
      <c r="AF679" s="15"/>
    </row>
    <row r="680" spans="2:32" x14ac:dyDescent="0.25">
      <c r="B680" s="15" t="str">
        <f t="shared" si="30"/>
        <v/>
      </c>
      <c r="D680" s="1" t="str">
        <f t="shared" si="29"/>
        <v/>
      </c>
      <c r="E680" s="21"/>
      <c r="F680" s="7"/>
      <c r="G680" s="19"/>
      <c r="I680" s="1"/>
      <c r="N680" s="1"/>
      <c r="O680" s="1"/>
      <c r="P680" s="6"/>
      <c r="Q680" s="18"/>
      <c r="R680" s="18"/>
      <c r="S680" s="18"/>
      <c r="T680" s="18"/>
      <c r="U680" s="18"/>
      <c r="V680" s="18"/>
      <c r="W680" s="18"/>
      <c r="X680" s="18"/>
      <c r="Y680" s="18"/>
      <c r="Z680" s="18"/>
      <c r="AA680" s="18"/>
      <c r="AB680" s="18"/>
      <c r="AC680" s="18"/>
      <c r="AD680" s="18"/>
      <c r="AE680" s="15"/>
      <c r="AF680" s="15"/>
    </row>
    <row r="681" spans="2:32" x14ac:dyDescent="0.25">
      <c r="B681" s="15" t="str">
        <f t="shared" si="30"/>
        <v/>
      </c>
      <c r="D681" s="1" t="str">
        <f t="shared" si="29"/>
        <v/>
      </c>
      <c r="E681" s="21"/>
      <c r="F681" s="7"/>
      <c r="G681" s="19"/>
      <c r="I681" s="1"/>
      <c r="N681" s="1"/>
      <c r="O681" s="1"/>
      <c r="P681" s="6"/>
      <c r="Q681" s="18"/>
      <c r="R681" s="18"/>
      <c r="S681" s="18"/>
      <c r="T681" s="18"/>
      <c r="U681" s="18"/>
      <c r="V681" s="18"/>
      <c r="W681" s="18"/>
      <c r="X681" s="18"/>
      <c r="Y681" s="18"/>
      <c r="Z681" s="18"/>
      <c r="AA681" s="18"/>
      <c r="AB681" s="18"/>
      <c r="AC681" s="18"/>
      <c r="AD681" s="18"/>
      <c r="AE681" s="15"/>
      <c r="AF681" s="15"/>
    </row>
    <row r="682" spans="2:32" x14ac:dyDescent="0.25">
      <c r="B682" s="15" t="str">
        <f t="shared" si="30"/>
        <v/>
      </c>
      <c r="D682" s="1" t="str">
        <f t="shared" si="29"/>
        <v/>
      </c>
      <c r="E682" s="21"/>
      <c r="F682" s="7"/>
      <c r="G682" s="19"/>
      <c r="I682" s="1"/>
      <c r="N682" s="1"/>
      <c r="O682" s="1"/>
      <c r="P682" s="6"/>
      <c r="Q682" s="18"/>
      <c r="R682" s="18"/>
      <c r="S682" s="18"/>
      <c r="T682" s="18"/>
      <c r="U682" s="18"/>
      <c r="V682" s="18"/>
      <c r="W682" s="18"/>
      <c r="X682" s="18"/>
      <c r="Y682" s="18"/>
      <c r="Z682" s="18"/>
      <c r="AA682" s="18"/>
      <c r="AB682" s="18"/>
      <c r="AC682" s="18"/>
      <c r="AD682" s="18"/>
      <c r="AE682" s="15"/>
      <c r="AF682" s="15"/>
    </row>
    <row r="683" spans="2:32" x14ac:dyDescent="0.25">
      <c r="B683" s="15" t="str">
        <f t="shared" si="30"/>
        <v/>
      </c>
      <c r="D683" s="1" t="str">
        <f t="shared" si="29"/>
        <v/>
      </c>
      <c r="E683" s="21"/>
      <c r="F683" s="7"/>
      <c r="G683" s="19"/>
      <c r="I683" s="1"/>
      <c r="N683" s="1"/>
      <c r="O683" s="1"/>
      <c r="P683" s="6"/>
      <c r="Q683" s="18"/>
      <c r="R683" s="18"/>
      <c r="S683" s="18"/>
      <c r="T683" s="18"/>
      <c r="U683" s="18"/>
      <c r="V683" s="18"/>
      <c r="W683" s="18"/>
      <c r="X683" s="18"/>
      <c r="Y683" s="18"/>
      <c r="Z683" s="18"/>
      <c r="AA683" s="18"/>
      <c r="AB683" s="18"/>
      <c r="AC683" s="18"/>
      <c r="AD683" s="18"/>
      <c r="AE683" s="15"/>
      <c r="AF683" s="15"/>
    </row>
    <row r="684" spans="2:32" x14ac:dyDescent="0.25">
      <c r="B684" s="15" t="str">
        <f t="shared" si="30"/>
        <v/>
      </c>
      <c r="D684" s="1" t="str">
        <f t="shared" si="29"/>
        <v/>
      </c>
      <c r="E684" s="21"/>
      <c r="F684" s="7"/>
      <c r="G684" s="19"/>
      <c r="I684" s="1"/>
      <c r="N684" s="1"/>
      <c r="O684" s="1"/>
      <c r="P684" s="6"/>
      <c r="Q684" s="18"/>
      <c r="R684" s="18"/>
      <c r="S684" s="18"/>
      <c r="T684" s="18"/>
      <c r="U684" s="18"/>
      <c r="V684" s="18"/>
      <c r="W684" s="18"/>
      <c r="X684" s="18"/>
      <c r="Y684" s="18"/>
      <c r="Z684" s="18"/>
      <c r="AA684" s="18"/>
      <c r="AB684" s="18"/>
      <c r="AC684" s="18"/>
      <c r="AD684" s="18"/>
      <c r="AE684" s="15"/>
      <c r="AF684" s="15"/>
    </row>
    <row r="685" spans="2:32" x14ac:dyDescent="0.25">
      <c r="B685" s="15" t="str">
        <f t="shared" si="30"/>
        <v/>
      </c>
      <c r="D685" s="1" t="str">
        <f t="shared" si="29"/>
        <v/>
      </c>
      <c r="E685" s="21"/>
      <c r="F685" s="7"/>
      <c r="G685" s="19"/>
      <c r="I685" s="1"/>
      <c r="N685" s="1"/>
      <c r="O685" s="1"/>
      <c r="P685" s="6"/>
      <c r="Q685" s="18"/>
      <c r="R685" s="18"/>
      <c r="S685" s="18"/>
      <c r="T685" s="18"/>
      <c r="U685" s="18"/>
      <c r="V685" s="18"/>
      <c r="W685" s="18"/>
      <c r="X685" s="18"/>
      <c r="Y685" s="18"/>
      <c r="Z685" s="18"/>
      <c r="AA685" s="18"/>
      <c r="AB685" s="18"/>
      <c r="AC685" s="18"/>
      <c r="AD685" s="18"/>
      <c r="AE685" s="15"/>
      <c r="AF685" s="15"/>
    </row>
    <row r="686" spans="2:32" x14ac:dyDescent="0.25">
      <c r="B686" s="15" t="str">
        <f t="shared" si="30"/>
        <v/>
      </c>
      <c r="D686" s="1" t="str">
        <f t="shared" si="29"/>
        <v/>
      </c>
      <c r="E686" s="21"/>
      <c r="F686" s="7"/>
      <c r="G686" s="19"/>
      <c r="I686" s="1"/>
      <c r="N686" s="1"/>
      <c r="O686" s="1"/>
      <c r="P686" s="6"/>
      <c r="Q686" s="18"/>
      <c r="R686" s="18"/>
      <c r="S686" s="18"/>
      <c r="T686" s="18"/>
      <c r="U686" s="18"/>
      <c r="V686" s="18"/>
      <c r="W686" s="18"/>
      <c r="X686" s="18"/>
      <c r="Y686" s="18"/>
      <c r="Z686" s="18"/>
      <c r="AA686" s="18"/>
      <c r="AB686" s="18"/>
      <c r="AC686" s="18"/>
      <c r="AD686" s="18"/>
      <c r="AE686" s="15"/>
      <c r="AF686" s="15"/>
    </row>
    <row r="687" spans="2:32" x14ac:dyDescent="0.25">
      <c r="B687" s="15" t="str">
        <f t="shared" si="30"/>
        <v/>
      </c>
      <c r="D687" s="1" t="str">
        <f t="shared" si="29"/>
        <v/>
      </c>
      <c r="E687" s="21"/>
      <c r="F687" s="7"/>
      <c r="G687" s="19"/>
      <c r="I687" s="1"/>
      <c r="N687" s="1"/>
      <c r="O687" s="1"/>
      <c r="P687" s="6"/>
      <c r="Q687" s="18"/>
      <c r="R687" s="18"/>
      <c r="S687" s="18"/>
      <c r="T687" s="18"/>
      <c r="U687" s="18"/>
      <c r="V687" s="18"/>
      <c r="W687" s="18"/>
      <c r="X687" s="18"/>
      <c r="Y687" s="18"/>
      <c r="Z687" s="18"/>
      <c r="AA687" s="18"/>
      <c r="AB687" s="18"/>
      <c r="AC687" s="18"/>
      <c r="AD687" s="18"/>
      <c r="AE687" s="15"/>
      <c r="AF687" s="15"/>
    </row>
    <row r="688" spans="2:32" x14ac:dyDescent="0.25">
      <c r="B688" s="15" t="str">
        <f t="shared" si="30"/>
        <v/>
      </c>
      <c r="D688" s="1" t="str">
        <f t="shared" si="29"/>
        <v/>
      </c>
      <c r="E688" s="21"/>
      <c r="F688" s="7"/>
      <c r="G688" s="19"/>
      <c r="I688" s="1"/>
      <c r="N688" s="1"/>
      <c r="O688" s="1"/>
      <c r="P688" s="6"/>
      <c r="Q688" s="18"/>
      <c r="R688" s="18"/>
      <c r="S688" s="18"/>
      <c r="T688" s="18"/>
      <c r="U688" s="18"/>
      <c r="V688" s="18"/>
      <c r="W688" s="18"/>
      <c r="X688" s="18"/>
      <c r="Y688" s="18"/>
      <c r="Z688" s="18"/>
      <c r="AA688" s="18"/>
      <c r="AB688" s="18"/>
      <c r="AC688" s="18"/>
      <c r="AD688" s="18"/>
      <c r="AE688" s="15"/>
      <c r="AF688" s="15"/>
    </row>
    <row r="689" spans="2:32" x14ac:dyDescent="0.25">
      <c r="B689" s="15" t="str">
        <f t="shared" si="30"/>
        <v/>
      </c>
      <c r="D689" s="1" t="str">
        <f t="shared" si="29"/>
        <v/>
      </c>
      <c r="E689" s="21"/>
      <c r="F689" s="7"/>
      <c r="G689" s="19"/>
      <c r="I689" s="1"/>
      <c r="N689" s="1"/>
      <c r="O689" s="1"/>
      <c r="P689" s="6"/>
      <c r="Q689" s="18"/>
      <c r="R689" s="18"/>
      <c r="S689" s="18"/>
      <c r="T689" s="18"/>
      <c r="U689" s="18"/>
      <c r="V689" s="18"/>
      <c r="W689" s="18"/>
      <c r="X689" s="18"/>
      <c r="Y689" s="18"/>
      <c r="Z689" s="18"/>
      <c r="AA689" s="18"/>
      <c r="AB689" s="18"/>
      <c r="AC689" s="18"/>
      <c r="AD689" s="18"/>
      <c r="AE689" s="15"/>
      <c r="AF689" s="15"/>
    </row>
    <row r="690" spans="2:32" x14ac:dyDescent="0.25">
      <c r="B690" s="15" t="str">
        <f t="shared" si="30"/>
        <v/>
      </c>
      <c r="D690" s="1" t="str">
        <f t="shared" si="29"/>
        <v/>
      </c>
      <c r="E690" s="21"/>
      <c r="F690" s="7"/>
      <c r="G690" s="19"/>
      <c r="I690" s="1"/>
      <c r="N690" s="1"/>
      <c r="O690" s="1"/>
      <c r="P690" s="6"/>
      <c r="Q690" s="18"/>
      <c r="R690" s="18"/>
      <c r="S690" s="18"/>
      <c r="T690" s="18"/>
      <c r="U690" s="18"/>
      <c r="V690" s="18"/>
      <c r="W690" s="18"/>
      <c r="X690" s="18"/>
      <c r="Y690" s="18"/>
      <c r="Z690" s="18"/>
      <c r="AA690" s="18"/>
      <c r="AB690" s="18"/>
      <c r="AC690" s="18"/>
      <c r="AD690" s="18"/>
      <c r="AE690" s="15"/>
      <c r="AF690" s="15"/>
    </row>
    <row r="691" spans="2:32" x14ac:dyDescent="0.25">
      <c r="B691" s="15" t="str">
        <f t="shared" si="30"/>
        <v/>
      </c>
      <c r="D691" s="1" t="str">
        <f t="shared" si="29"/>
        <v/>
      </c>
      <c r="E691" s="21"/>
      <c r="F691" s="7"/>
      <c r="G691" s="19"/>
      <c r="I691" s="1"/>
      <c r="N691" s="1"/>
      <c r="O691" s="1"/>
      <c r="P691" s="6"/>
      <c r="Q691" s="18"/>
      <c r="R691" s="18"/>
      <c r="S691" s="18"/>
      <c r="T691" s="18"/>
      <c r="U691" s="18"/>
      <c r="V691" s="18"/>
      <c r="W691" s="18"/>
      <c r="X691" s="18"/>
      <c r="Y691" s="18"/>
      <c r="Z691" s="18"/>
      <c r="AA691" s="18"/>
      <c r="AB691" s="18"/>
      <c r="AC691" s="18"/>
      <c r="AD691" s="18"/>
      <c r="AE691" s="15"/>
      <c r="AF691" s="15"/>
    </row>
    <row r="692" spans="2:32" x14ac:dyDescent="0.25">
      <c r="B692" s="15" t="str">
        <f t="shared" si="30"/>
        <v/>
      </c>
      <c r="D692" s="1" t="str">
        <f t="shared" si="29"/>
        <v/>
      </c>
      <c r="E692" s="21"/>
      <c r="F692" s="7"/>
      <c r="G692" s="19"/>
      <c r="I692" s="1"/>
      <c r="N692" s="1"/>
      <c r="O692" s="1"/>
      <c r="P692" s="6"/>
      <c r="Q692" s="18"/>
      <c r="R692" s="18"/>
      <c r="S692" s="18"/>
      <c r="T692" s="18"/>
      <c r="U692" s="18"/>
      <c r="V692" s="18"/>
      <c r="W692" s="18"/>
      <c r="X692" s="18"/>
      <c r="Y692" s="18"/>
      <c r="Z692" s="18"/>
      <c r="AA692" s="18"/>
      <c r="AB692" s="18"/>
      <c r="AC692" s="18"/>
      <c r="AD692" s="18"/>
      <c r="AE692" s="15"/>
      <c r="AF692" s="15"/>
    </row>
    <row r="693" spans="2:32" x14ac:dyDescent="0.25">
      <c r="B693" s="15" t="str">
        <f t="shared" si="30"/>
        <v/>
      </c>
      <c r="D693" s="1" t="str">
        <f t="shared" si="29"/>
        <v/>
      </c>
      <c r="E693" s="21"/>
      <c r="F693" s="7"/>
      <c r="G693" s="19"/>
      <c r="I693" s="1"/>
      <c r="N693" s="1"/>
      <c r="O693" s="1"/>
      <c r="P693" s="6"/>
      <c r="Q693" s="18"/>
      <c r="R693" s="18"/>
      <c r="S693" s="18"/>
      <c r="T693" s="18"/>
      <c r="U693" s="18"/>
      <c r="V693" s="18"/>
      <c r="W693" s="18"/>
      <c r="X693" s="18"/>
      <c r="Y693" s="18"/>
      <c r="Z693" s="18"/>
      <c r="AA693" s="18"/>
      <c r="AB693" s="18"/>
      <c r="AC693" s="18"/>
      <c r="AD693" s="18"/>
      <c r="AE693" s="15"/>
      <c r="AF693" s="15"/>
    </row>
    <row r="694" spans="2:32" x14ac:dyDescent="0.25">
      <c r="B694" s="15" t="str">
        <f t="shared" si="30"/>
        <v/>
      </c>
      <c r="D694" s="1" t="str">
        <f t="shared" si="29"/>
        <v/>
      </c>
      <c r="E694" s="21"/>
      <c r="F694" s="7"/>
      <c r="G694" s="19"/>
      <c r="I694" s="1"/>
      <c r="N694" s="1"/>
      <c r="O694" s="1"/>
      <c r="P694" s="6"/>
      <c r="Q694" s="18"/>
      <c r="R694" s="18"/>
      <c r="S694" s="18"/>
      <c r="T694" s="18"/>
      <c r="U694" s="18"/>
      <c r="V694" s="18"/>
      <c r="W694" s="18"/>
      <c r="X694" s="18"/>
      <c r="Y694" s="18"/>
      <c r="Z694" s="18"/>
      <c r="AA694" s="18"/>
      <c r="AB694" s="18"/>
      <c r="AC694" s="18"/>
      <c r="AD694" s="18"/>
      <c r="AE694" s="15"/>
      <c r="AF694" s="15"/>
    </row>
    <row r="695" spans="2:32" x14ac:dyDescent="0.25">
      <c r="B695" s="15" t="str">
        <f t="shared" si="30"/>
        <v/>
      </c>
      <c r="D695" s="1" t="str">
        <f t="shared" si="29"/>
        <v/>
      </c>
      <c r="E695" s="21"/>
      <c r="F695" s="7"/>
      <c r="G695" s="19"/>
      <c r="I695" s="1"/>
      <c r="N695" s="1"/>
      <c r="O695" s="1"/>
      <c r="P695" s="6"/>
      <c r="Q695" s="18"/>
      <c r="R695" s="18"/>
      <c r="S695" s="18"/>
      <c r="T695" s="18"/>
      <c r="U695" s="18"/>
      <c r="V695" s="18"/>
      <c r="W695" s="18"/>
      <c r="X695" s="18"/>
      <c r="Y695" s="18"/>
      <c r="Z695" s="18"/>
      <c r="AA695" s="18"/>
      <c r="AB695" s="18"/>
      <c r="AC695" s="18"/>
      <c r="AD695" s="18"/>
      <c r="AE695" s="15"/>
      <c r="AF695" s="15"/>
    </row>
    <row r="696" spans="2:32" x14ac:dyDescent="0.25">
      <c r="B696" s="15" t="str">
        <f t="shared" si="30"/>
        <v/>
      </c>
      <c r="D696" s="1" t="str">
        <f t="shared" si="29"/>
        <v/>
      </c>
      <c r="E696" s="21"/>
      <c r="F696" s="7"/>
      <c r="G696" s="19"/>
      <c r="I696" s="1"/>
      <c r="N696" s="1"/>
      <c r="O696" s="1"/>
      <c r="P696" s="6"/>
      <c r="Q696" s="18"/>
      <c r="R696" s="18"/>
      <c r="S696" s="18"/>
      <c r="T696" s="18"/>
      <c r="U696" s="18"/>
      <c r="V696" s="18"/>
      <c r="W696" s="18"/>
      <c r="X696" s="18"/>
      <c r="Y696" s="18"/>
      <c r="Z696" s="18"/>
      <c r="AA696" s="18"/>
      <c r="AB696" s="18"/>
      <c r="AC696" s="18"/>
      <c r="AD696" s="18"/>
      <c r="AE696" s="15"/>
      <c r="AF696" s="15"/>
    </row>
    <row r="697" spans="2:32" x14ac:dyDescent="0.25">
      <c r="B697" s="15" t="str">
        <f t="shared" si="30"/>
        <v/>
      </c>
      <c r="D697" s="1" t="str">
        <f t="shared" si="29"/>
        <v/>
      </c>
      <c r="E697" s="21"/>
      <c r="F697" s="7"/>
      <c r="G697" s="19"/>
      <c r="I697" s="1"/>
      <c r="N697" s="1"/>
      <c r="O697" s="1"/>
      <c r="P697" s="6"/>
      <c r="Q697" s="18"/>
      <c r="R697" s="18"/>
      <c r="S697" s="18"/>
      <c r="T697" s="18"/>
      <c r="U697" s="18"/>
      <c r="V697" s="18"/>
      <c r="W697" s="18"/>
      <c r="X697" s="18"/>
      <c r="Y697" s="18"/>
      <c r="Z697" s="18"/>
      <c r="AA697" s="18"/>
      <c r="AB697" s="18"/>
      <c r="AC697" s="18"/>
      <c r="AD697" s="18"/>
      <c r="AE697" s="15"/>
      <c r="AF697" s="15"/>
    </row>
    <row r="698" spans="2:32" x14ac:dyDescent="0.25">
      <c r="B698" s="15" t="str">
        <f t="shared" si="30"/>
        <v/>
      </c>
      <c r="D698" s="1" t="str">
        <f t="shared" si="29"/>
        <v/>
      </c>
      <c r="E698" s="21"/>
      <c r="F698" s="7"/>
      <c r="G698" s="19"/>
      <c r="I698" s="1"/>
      <c r="N698" s="1"/>
      <c r="O698" s="1"/>
      <c r="P698" s="6"/>
      <c r="Q698" s="18"/>
      <c r="R698" s="18"/>
      <c r="S698" s="18"/>
      <c r="T698" s="18"/>
      <c r="U698" s="18"/>
      <c r="V698" s="18"/>
      <c r="W698" s="18"/>
      <c r="X698" s="18"/>
      <c r="Y698" s="18"/>
      <c r="Z698" s="18"/>
      <c r="AA698" s="18"/>
      <c r="AB698" s="18"/>
      <c r="AC698" s="18"/>
      <c r="AD698" s="18"/>
      <c r="AE698" s="15"/>
      <c r="AF698" s="15"/>
    </row>
    <row r="699" spans="2:32" x14ac:dyDescent="0.25">
      <c r="B699" s="15" t="str">
        <f t="shared" si="30"/>
        <v/>
      </c>
      <c r="D699" s="1" t="str">
        <f t="shared" si="29"/>
        <v/>
      </c>
      <c r="E699" s="21"/>
      <c r="F699" s="7"/>
      <c r="G699" s="19"/>
      <c r="I699" s="1"/>
      <c r="N699" s="1"/>
      <c r="O699" s="1"/>
      <c r="P699" s="6"/>
      <c r="Q699" s="18"/>
      <c r="R699" s="18"/>
      <c r="S699" s="18"/>
      <c r="T699" s="18"/>
      <c r="U699" s="18"/>
      <c r="V699" s="18"/>
      <c r="W699" s="18"/>
      <c r="X699" s="18"/>
      <c r="Y699" s="18"/>
      <c r="Z699" s="18"/>
      <c r="AA699" s="18"/>
      <c r="AB699" s="18"/>
      <c r="AC699" s="18"/>
      <c r="AD699" s="18"/>
      <c r="AE699" s="15"/>
      <c r="AF699" s="15"/>
    </row>
    <row r="700" spans="2:32" x14ac:dyDescent="0.25">
      <c r="B700" s="15" t="str">
        <f t="shared" si="30"/>
        <v/>
      </c>
      <c r="D700" s="1" t="str">
        <f t="shared" si="29"/>
        <v/>
      </c>
      <c r="E700" s="21"/>
      <c r="F700" s="7"/>
      <c r="G700" s="19"/>
      <c r="I700" s="1"/>
      <c r="N700" s="1"/>
      <c r="O700" s="1"/>
      <c r="P700" s="6"/>
      <c r="Q700" s="18"/>
      <c r="R700" s="18"/>
      <c r="S700" s="18"/>
      <c r="T700" s="18"/>
      <c r="U700" s="18"/>
      <c r="V700" s="18"/>
      <c r="W700" s="18"/>
      <c r="X700" s="18"/>
      <c r="Y700" s="18"/>
      <c r="Z700" s="18"/>
      <c r="AA700" s="18"/>
      <c r="AB700" s="18"/>
      <c r="AC700" s="18"/>
      <c r="AD700" s="18"/>
      <c r="AE700" s="15"/>
      <c r="AF700" s="15"/>
    </row>
    <row r="701" spans="2:32" x14ac:dyDescent="0.25">
      <c r="B701" s="15" t="str">
        <f t="shared" si="30"/>
        <v/>
      </c>
      <c r="D701" s="1" t="str">
        <f t="shared" si="29"/>
        <v/>
      </c>
      <c r="E701" s="21"/>
      <c r="F701" s="7"/>
      <c r="G701" s="19"/>
      <c r="I701" s="1"/>
      <c r="N701" s="1"/>
      <c r="O701" s="1"/>
      <c r="P701" s="6"/>
      <c r="Q701" s="18"/>
      <c r="R701" s="18"/>
      <c r="S701" s="18"/>
      <c r="T701" s="18"/>
      <c r="U701" s="18"/>
      <c r="V701" s="18"/>
      <c r="W701" s="18"/>
      <c r="X701" s="18"/>
      <c r="Y701" s="18"/>
      <c r="Z701" s="18"/>
      <c r="AA701" s="18"/>
      <c r="AB701" s="18"/>
      <c r="AC701" s="18"/>
      <c r="AD701" s="18"/>
      <c r="AE701" s="15"/>
      <c r="AF701" s="15"/>
    </row>
    <row r="702" spans="2:32" x14ac:dyDescent="0.25">
      <c r="B702" s="15" t="str">
        <f t="shared" si="30"/>
        <v/>
      </c>
      <c r="D702" s="1" t="str">
        <f t="shared" si="29"/>
        <v/>
      </c>
      <c r="E702" s="21"/>
      <c r="F702" s="7"/>
      <c r="G702" s="19"/>
      <c r="I702" s="1"/>
      <c r="N702" s="1"/>
      <c r="O702" s="1"/>
      <c r="P702" s="6"/>
      <c r="Q702" s="18"/>
      <c r="R702" s="18"/>
      <c r="S702" s="18"/>
      <c r="T702" s="18"/>
      <c r="U702" s="18"/>
      <c r="V702" s="18"/>
      <c r="W702" s="18"/>
      <c r="X702" s="18"/>
      <c r="Y702" s="18"/>
      <c r="Z702" s="18"/>
      <c r="AA702" s="18"/>
      <c r="AB702" s="18"/>
      <c r="AC702" s="18"/>
      <c r="AD702" s="18"/>
      <c r="AE702" s="15"/>
      <c r="AF702" s="15"/>
    </row>
    <row r="703" spans="2:32" x14ac:dyDescent="0.25">
      <c r="B703" s="15" t="str">
        <f t="shared" si="30"/>
        <v/>
      </c>
      <c r="D703" s="1" t="str">
        <f t="shared" si="29"/>
        <v/>
      </c>
      <c r="E703" s="21"/>
      <c r="F703" s="7"/>
      <c r="G703" s="19"/>
      <c r="I703" s="1"/>
      <c r="N703" s="1"/>
      <c r="O703" s="1"/>
      <c r="P703" s="6"/>
      <c r="Q703" s="18"/>
      <c r="R703" s="18"/>
      <c r="S703" s="18"/>
      <c r="T703" s="18"/>
      <c r="U703" s="18"/>
      <c r="V703" s="18"/>
      <c r="W703" s="18"/>
      <c r="X703" s="18"/>
      <c r="Y703" s="18"/>
      <c r="Z703" s="18"/>
      <c r="AA703" s="18"/>
      <c r="AB703" s="18"/>
      <c r="AC703" s="18"/>
      <c r="AD703" s="18"/>
      <c r="AE703" s="15"/>
      <c r="AF703" s="15"/>
    </row>
    <row r="704" spans="2:32" x14ac:dyDescent="0.25">
      <c r="B704" s="15" t="str">
        <f t="shared" si="30"/>
        <v/>
      </c>
      <c r="D704" s="1" t="str">
        <f t="shared" si="29"/>
        <v/>
      </c>
      <c r="E704" s="21"/>
      <c r="F704" s="7"/>
      <c r="G704" s="19"/>
      <c r="I704" s="1"/>
      <c r="N704" s="1"/>
      <c r="O704" s="1"/>
      <c r="P704" s="6"/>
      <c r="Q704" s="18"/>
      <c r="R704" s="18"/>
      <c r="S704" s="18"/>
      <c r="T704" s="18"/>
      <c r="U704" s="18"/>
      <c r="V704" s="18"/>
      <c r="W704" s="18"/>
      <c r="X704" s="18"/>
      <c r="Y704" s="18"/>
      <c r="Z704" s="18"/>
      <c r="AA704" s="18"/>
      <c r="AB704" s="18"/>
      <c r="AC704" s="18"/>
      <c r="AD704" s="18"/>
      <c r="AE704" s="15"/>
      <c r="AF704" s="15"/>
    </row>
    <row r="705" spans="2:32" x14ac:dyDescent="0.25">
      <c r="B705" s="15" t="str">
        <f t="shared" si="30"/>
        <v/>
      </c>
      <c r="D705" s="1" t="str">
        <f t="shared" si="29"/>
        <v/>
      </c>
      <c r="E705" s="21"/>
      <c r="F705" s="7"/>
      <c r="G705" s="19"/>
      <c r="I705" s="1"/>
      <c r="N705" s="1"/>
      <c r="O705" s="1"/>
      <c r="P705" s="6"/>
      <c r="Q705" s="18"/>
      <c r="R705" s="18"/>
      <c r="S705" s="18"/>
      <c r="T705" s="18"/>
      <c r="U705" s="18"/>
      <c r="V705" s="18"/>
      <c r="W705" s="18"/>
      <c r="X705" s="18"/>
      <c r="Y705" s="18"/>
      <c r="Z705" s="18"/>
      <c r="AA705" s="18"/>
      <c r="AB705" s="18"/>
      <c r="AC705" s="18"/>
      <c r="AD705" s="18"/>
      <c r="AE705" s="15"/>
      <c r="AF705" s="15"/>
    </row>
    <row r="706" spans="2:32" x14ac:dyDescent="0.25">
      <c r="B706" s="15" t="str">
        <f t="shared" si="30"/>
        <v/>
      </c>
      <c r="D706" s="1" t="str">
        <f t="shared" si="29"/>
        <v/>
      </c>
      <c r="E706" s="21"/>
      <c r="F706" s="7"/>
      <c r="G706" s="19"/>
      <c r="I706" s="1"/>
      <c r="N706" s="1"/>
      <c r="O706" s="1"/>
      <c r="P706" s="6"/>
      <c r="Q706" s="18"/>
      <c r="R706" s="18"/>
      <c r="S706" s="18"/>
      <c r="T706" s="18"/>
      <c r="U706" s="18"/>
      <c r="V706" s="18"/>
      <c r="W706" s="18"/>
      <c r="X706" s="18"/>
      <c r="Y706" s="18"/>
      <c r="Z706" s="18"/>
      <c r="AA706" s="18"/>
      <c r="AB706" s="18"/>
      <c r="AC706" s="18"/>
      <c r="AD706" s="18"/>
      <c r="AE706" s="15"/>
      <c r="AF706" s="15"/>
    </row>
    <row r="707" spans="2:32" x14ac:dyDescent="0.25">
      <c r="B707" s="15" t="str">
        <f t="shared" si="30"/>
        <v/>
      </c>
      <c r="D707" s="1" t="str">
        <f t="shared" ref="D707:D770" si="31">IF(C707=0,"",TEXT($C707,"dddd"))</f>
        <v/>
      </c>
      <c r="E707" s="21"/>
      <c r="F707" s="7"/>
      <c r="G707" s="19"/>
      <c r="I707" s="1"/>
      <c r="N707" s="1"/>
      <c r="O707" s="1"/>
      <c r="P707" s="6"/>
      <c r="Q707" s="18"/>
      <c r="R707" s="18"/>
      <c r="S707" s="18"/>
      <c r="T707" s="18"/>
      <c r="U707" s="18"/>
      <c r="V707" s="18"/>
      <c r="W707" s="18"/>
      <c r="X707" s="18"/>
      <c r="Y707" s="18"/>
      <c r="Z707" s="18"/>
      <c r="AA707" s="18"/>
      <c r="AB707" s="18"/>
      <c r="AC707" s="18"/>
      <c r="AD707" s="18"/>
      <c r="AE707" s="15"/>
      <c r="AF707" s="15"/>
    </row>
    <row r="708" spans="2:32" x14ac:dyDescent="0.25">
      <c r="B708" s="15" t="str">
        <f t="shared" si="30"/>
        <v/>
      </c>
      <c r="D708" s="1" t="str">
        <f t="shared" si="31"/>
        <v/>
      </c>
      <c r="E708" s="21"/>
      <c r="F708" s="7"/>
      <c r="G708" s="19"/>
      <c r="I708" s="1"/>
      <c r="N708" s="1"/>
      <c r="O708" s="1"/>
      <c r="P708" s="6"/>
      <c r="Q708" s="18"/>
      <c r="R708" s="18"/>
      <c r="S708" s="18"/>
      <c r="T708" s="18"/>
      <c r="U708" s="18"/>
      <c r="V708" s="18"/>
      <c r="W708" s="18"/>
      <c r="X708" s="18"/>
      <c r="Y708" s="18"/>
      <c r="Z708" s="18"/>
      <c r="AA708" s="18"/>
      <c r="AB708" s="18"/>
      <c r="AC708" s="18"/>
      <c r="AD708" s="18"/>
      <c r="AE708" s="15"/>
      <c r="AF708" s="15"/>
    </row>
    <row r="709" spans="2:32" x14ac:dyDescent="0.25">
      <c r="B709" s="15" t="str">
        <f t="shared" si="30"/>
        <v/>
      </c>
      <c r="D709" s="1" t="str">
        <f t="shared" si="31"/>
        <v/>
      </c>
      <c r="E709" s="21"/>
      <c r="F709" s="7"/>
      <c r="G709" s="19"/>
      <c r="I709" s="1"/>
      <c r="N709" s="1"/>
      <c r="O709" s="1"/>
      <c r="P709" s="6"/>
      <c r="Q709" s="18"/>
      <c r="R709" s="18"/>
      <c r="S709" s="18"/>
      <c r="T709" s="18"/>
      <c r="U709" s="18"/>
      <c r="V709" s="18"/>
      <c r="W709" s="18"/>
      <c r="X709" s="18"/>
      <c r="Y709" s="18"/>
      <c r="Z709" s="18"/>
      <c r="AA709" s="18"/>
      <c r="AB709" s="18"/>
      <c r="AC709" s="18"/>
      <c r="AD709" s="18"/>
      <c r="AE709" s="15"/>
      <c r="AF709" s="15"/>
    </row>
    <row r="710" spans="2:32" x14ac:dyDescent="0.25">
      <c r="B710" s="15" t="str">
        <f t="shared" si="30"/>
        <v/>
      </c>
      <c r="D710" s="1" t="str">
        <f t="shared" si="31"/>
        <v/>
      </c>
      <c r="E710" s="21"/>
      <c r="F710" s="7"/>
      <c r="G710" s="19"/>
      <c r="I710" s="1"/>
      <c r="N710" s="1"/>
      <c r="O710" s="1"/>
      <c r="P710" s="6"/>
      <c r="Q710" s="18"/>
      <c r="R710" s="18"/>
      <c r="S710" s="18"/>
      <c r="T710" s="18"/>
      <c r="U710" s="18"/>
      <c r="V710" s="18"/>
      <c r="W710" s="18"/>
      <c r="X710" s="18"/>
      <c r="Y710" s="18"/>
      <c r="Z710" s="18"/>
      <c r="AA710" s="18"/>
      <c r="AB710" s="18"/>
      <c r="AC710" s="18"/>
      <c r="AD710" s="18"/>
      <c r="AE710" s="15"/>
      <c r="AF710" s="15"/>
    </row>
    <row r="711" spans="2:32" x14ac:dyDescent="0.25">
      <c r="B711" s="15" t="str">
        <f t="shared" si="30"/>
        <v/>
      </c>
      <c r="D711" s="1" t="str">
        <f t="shared" si="31"/>
        <v/>
      </c>
      <c r="E711" s="21"/>
      <c r="F711" s="7"/>
      <c r="G711" s="19"/>
      <c r="I711" s="1"/>
      <c r="N711" s="1"/>
      <c r="O711" s="1"/>
      <c r="P711" s="6"/>
      <c r="Q711" s="18"/>
      <c r="R711" s="18"/>
      <c r="S711" s="18"/>
      <c r="T711" s="18"/>
      <c r="U711" s="18"/>
      <c r="V711" s="18"/>
      <c r="W711" s="18"/>
      <c r="X711" s="18"/>
      <c r="Y711" s="18"/>
      <c r="Z711" s="18"/>
      <c r="AA711" s="18"/>
      <c r="AB711" s="18"/>
      <c r="AC711" s="18"/>
      <c r="AD711" s="18"/>
      <c r="AE711" s="15"/>
      <c r="AF711" s="15"/>
    </row>
    <row r="712" spans="2:32" x14ac:dyDescent="0.25">
      <c r="B712" s="15" t="str">
        <f t="shared" si="30"/>
        <v/>
      </c>
      <c r="D712" s="1" t="str">
        <f t="shared" si="31"/>
        <v/>
      </c>
      <c r="E712" s="21"/>
      <c r="F712" s="7"/>
      <c r="G712" s="19"/>
      <c r="I712" s="1"/>
      <c r="N712" s="1"/>
      <c r="O712" s="1"/>
      <c r="P712" s="6"/>
      <c r="Q712" s="18"/>
      <c r="R712" s="18"/>
      <c r="S712" s="18"/>
      <c r="T712" s="18"/>
      <c r="U712" s="18"/>
      <c r="V712" s="18"/>
      <c r="W712" s="18"/>
      <c r="X712" s="18"/>
      <c r="Y712" s="18"/>
      <c r="Z712" s="18"/>
      <c r="AA712" s="18"/>
      <c r="AB712" s="18"/>
      <c r="AC712" s="18"/>
      <c r="AD712" s="18"/>
      <c r="AE712" s="15"/>
      <c r="AF712" s="15"/>
    </row>
    <row r="713" spans="2:32" x14ac:dyDescent="0.25">
      <c r="B713" s="15" t="str">
        <f t="shared" si="30"/>
        <v/>
      </c>
      <c r="D713" s="1" t="str">
        <f t="shared" si="31"/>
        <v/>
      </c>
      <c r="E713" s="21"/>
      <c r="F713" s="7"/>
      <c r="G713" s="19"/>
      <c r="I713" s="1"/>
      <c r="N713" s="1"/>
      <c r="O713" s="1"/>
      <c r="P713" s="6"/>
      <c r="Q713" s="18"/>
      <c r="R713" s="18"/>
      <c r="S713" s="18"/>
      <c r="T713" s="18"/>
      <c r="U713" s="18"/>
      <c r="V713" s="18"/>
      <c r="W713" s="18"/>
      <c r="X713" s="18"/>
      <c r="Y713" s="18"/>
      <c r="Z713" s="18"/>
      <c r="AA713" s="18"/>
      <c r="AB713" s="18"/>
      <c r="AC713" s="18"/>
      <c r="AD713" s="18"/>
      <c r="AE713" s="15"/>
      <c r="AF713" s="15"/>
    </row>
    <row r="714" spans="2:32" x14ac:dyDescent="0.25">
      <c r="B714" s="15" t="str">
        <f t="shared" si="30"/>
        <v/>
      </c>
      <c r="D714" s="1" t="str">
        <f t="shared" si="31"/>
        <v/>
      </c>
      <c r="E714" s="21"/>
      <c r="F714" s="7"/>
      <c r="G714" s="19"/>
      <c r="I714" s="1"/>
      <c r="N714" s="1"/>
      <c r="O714" s="1"/>
      <c r="P714" s="6"/>
      <c r="Q714" s="18"/>
      <c r="R714" s="18"/>
      <c r="S714" s="18"/>
      <c r="T714" s="18"/>
      <c r="U714" s="18"/>
      <c r="V714" s="18"/>
      <c r="W714" s="18"/>
      <c r="X714" s="18"/>
      <c r="Y714" s="18"/>
      <c r="Z714" s="18"/>
      <c r="AA714" s="18"/>
      <c r="AB714" s="18"/>
      <c r="AC714" s="18"/>
      <c r="AD714" s="18"/>
      <c r="AE714" s="15"/>
      <c r="AF714" s="15"/>
    </row>
    <row r="715" spans="2:32" x14ac:dyDescent="0.25">
      <c r="B715" s="15" t="str">
        <f t="shared" si="30"/>
        <v/>
      </c>
      <c r="D715" s="1" t="str">
        <f t="shared" si="31"/>
        <v/>
      </c>
      <c r="E715" s="21"/>
      <c r="F715" s="7"/>
      <c r="G715" s="19"/>
      <c r="I715" s="1"/>
      <c r="N715" s="1"/>
      <c r="O715" s="1"/>
      <c r="P715" s="6"/>
      <c r="Q715" s="18"/>
      <c r="R715" s="18"/>
      <c r="S715" s="18"/>
      <c r="T715" s="18"/>
      <c r="U715" s="18"/>
      <c r="V715" s="18"/>
      <c r="W715" s="18"/>
      <c r="X715" s="18"/>
      <c r="Y715" s="18"/>
      <c r="Z715" s="18"/>
      <c r="AA715" s="18"/>
      <c r="AB715" s="18"/>
      <c r="AC715" s="18"/>
      <c r="AD715" s="18"/>
      <c r="AE715" s="15"/>
      <c r="AF715" s="15"/>
    </row>
    <row r="716" spans="2:32" x14ac:dyDescent="0.25">
      <c r="B716" s="15" t="str">
        <f t="shared" si="30"/>
        <v/>
      </c>
      <c r="D716" s="1" t="str">
        <f t="shared" si="31"/>
        <v/>
      </c>
      <c r="E716" s="21"/>
      <c r="F716" s="7"/>
      <c r="G716" s="19"/>
      <c r="I716" s="1"/>
      <c r="N716" s="1"/>
      <c r="O716" s="1"/>
      <c r="P716" s="6"/>
      <c r="Q716" s="18"/>
      <c r="R716" s="18"/>
      <c r="S716" s="18"/>
      <c r="T716" s="18"/>
      <c r="U716" s="18"/>
      <c r="V716" s="18"/>
      <c r="W716" s="18"/>
      <c r="X716" s="18"/>
      <c r="Y716" s="18"/>
      <c r="Z716" s="18"/>
      <c r="AA716" s="18"/>
      <c r="AB716" s="18"/>
      <c r="AC716" s="18"/>
      <c r="AD716" s="18"/>
      <c r="AE716" s="15"/>
      <c r="AF716" s="15"/>
    </row>
    <row r="717" spans="2:32" x14ac:dyDescent="0.25">
      <c r="B717" s="15" t="str">
        <f t="shared" ref="B717:B780" si="32">IF($B$2=0,"",TEXT($B$2,""))</f>
        <v/>
      </c>
      <c r="D717" s="1" t="str">
        <f t="shared" si="31"/>
        <v/>
      </c>
      <c r="E717" s="21"/>
      <c r="F717" s="7"/>
      <c r="G717" s="19"/>
      <c r="I717" s="1"/>
      <c r="N717" s="1"/>
      <c r="O717" s="1"/>
      <c r="P717" s="6"/>
      <c r="Q717" s="18"/>
      <c r="R717" s="18"/>
      <c r="S717" s="18"/>
      <c r="T717" s="18"/>
      <c r="U717" s="18"/>
      <c r="V717" s="18"/>
      <c r="W717" s="18"/>
      <c r="X717" s="18"/>
      <c r="Y717" s="18"/>
      <c r="Z717" s="18"/>
      <c r="AA717" s="18"/>
      <c r="AB717" s="18"/>
      <c r="AC717" s="18"/>
      <c r="AD717" s="18"/>
      <c r="AE717" s="15"/>
      <c r="AF717" s="15"/>
    </row>
    <row r="718" spans="2:32" x14ac:dyDescent="0.25">
      <c r="B718" s="15" t="str">
        <f t="shared" si="32"/>
        <v/>
      </c>
      <c r="D718" s="1" t="str">
        <f t="shared" si="31"/>
        <v/>
      </c>
      <c r="E718" s="21"/>
      <c r="F718" s="7"/>
      <c r="G718" s="19"/>
      <c r="I718" s="1"/>
      <c r="N718" s="1"/>
      <c r="O718" s="1"/>
      <c r="P718" s="6"/>
      <c r="Q718" s="18"/>
      <c r="R718" s="18"/>
      <c r="S718" s="18"/>
      <c r="T718" s="18"/>
      <c r="U718" s="18"/>
      <c r="V718" s="18"/>
      <c r="W718" s="18"/>
      <c r="X718" s="18"/>
      <c r="Y718" s="18"/>
      <c r="Z718" s="18"/>
      <c r="AA718" s="18"/>
      <c r="AB718" s="18"/>
      <c r="AC718" s="18"/>
      <c r="AD718" s="18"/>
      <c r="AE718" s="15"/>
      <c r="AF718" s="15"/>
    </row>
    <row r="719" spans="2:32" x14ac:dyDescent="0.25">
      <c r="B719" s="15" t="str">
        <f t="shared" si="32"/>
        <v/>
      </c>
      <c r="D719" s="1" t="str">
        <f t="shared" si="31"/>
        <v/>
      </c>
      <c r="E719" s="21"/>
      <c r="F719" s="7"/>
      <c r="G719" s="19"/>
      <c r="I719" s="1"/>
      <c r="N719" s="1"/>
      <c r="O719" s="1"/>
      <c r="P719" s="6"/>
      <c r="Q719" s="18"/>
      <c r="R719" s="18"/>
      <c r="S719" s="18"/>
      <c r="T719" s="18"/>
      <c r="U719" s="18"/>
      <c r="V719" s="18"/>
      <c r="W719" s="18"/>
      <c r="X719" s="18"/>
      <c r="Y719" s="18"/>
      <c r="Z719" s="18"/>
      <c r="AA719" s="18"/>
      <c r="AB719" s="18"/>
      <c r="AC719" s="18"/>
      <c r="AD719" s="18"/>
      <c r="AE719" s="15"/>
      <c r="AF719" s="15"/>
    </row>
    <row r="720" spans="2:32" x14ac:dyDescent="0.25">
      <c r="B720" s="15" t="str">
        <f t="shared" si="32"/>
        <v/>
      </c>
      <c r="D720" s="1" t="str">
        <f t="shared" si="31"/>
        <v/>
      </c>
      <c r="E720" s="21"/>
      <c r="F720" s="7"/>
      <c r="G720" s="19"/>
      <c r="I720" s="1"/>
      <c r="N720" s="1"/>
      <c r="O720" s="1"/>
      <c r="P720" s="6"/>
      <c r="Q720" s="18"/>
      <c r="R720" s="18"/>
      <c r="S720" s="18"/>
      <c r="T720" s="18"/>
      <c r="U720" s="18"/>
      <c r="V720" s="18"/>
      <c r="W720" s="18"/>
      <c r="X720" s="18"/>
      <c r="Y720" s="18"/>
      <c r="Z720" s="18"/>
      <c r="AA720" s="18"/>
      <c r="AB720" s="18"/>
      <c r="AC720" s="18"/>
      <c r="AD720" s="18"/>
      <c r="AE720" s="15"/>
      <c r="AF720" s="15"/>
    </row>
    <row r="721" spans="2:32" x14ac:dyDescent="0.25">
      <c r="B721" s="15" t="str">
        <f t="shared" si="32"/>
        <v/>
      </c>
      <c r="D721" s="1" t="str">
        <f t="shared" si="31"/>
        <v/>
      </c>
      <c r="E721" s="21"/>
      <c r="F721" s="7"/>
      <c r="G721" s="19"/>
      <c r="I721" s="1"/>
      <c r="N721" s="1"/>
      <c r="O721" s="1"/>
      <c r="P721" s="6"/>
      <c r="Q721" s="18"/>
      <c r="R721" s="18"/>
      <c r="S721" s="18"/>
      <c r="T721" s="18"/>
      <c r="U721" s="18"/>
      <c r="V721" s="18"/>
      <c r="W721" s="18"/>
      <c r="X721" s="18"/>
      <c r="Y721" s="18"/>
      <c r="Z721" s="18"/>
      <c r="AA721" s="18"/>
      <c r="AB721" s="18"/>
      <c r="AC721" s="18"/>
      <c r="AD721" s="18"/>
      <c r="AE721" s="15"/>
      <c r="AF721" s="15"/>
    </row>
    <row r="722" spans="2:32" x14ac:dyDescent="0.25">
      <c r="B722" s="15" t="str">
        <f t="shared" si="32"/>
        <v/>
      </c>
      <c r="D722" s="1" t="str">
        <f t="shared" si="31"/>
        <v/>
      </c>
      <c r="E722" s="21"/>
      <c r="F722" s="7"/>
      <c r="G722" s="19"/>
      <c r="I722" s="1"/>
      <c r="N722" s="1"/>
      <c r="O722" s="1"/>
      <c r="P722" s="6"/>
      <c r="Q722" s="18"/>
      <c r="R722" s="18"/>
      <c r="S722" s="18"/>
      <c r="T722" s="18"/>
      <c r="U722" s="18"/>
      <c r="V722" s="18"/>
      <c r="W722" s="18"/>
      <c r="X722" s="18"/>
      <c r="Y722" s="18"/>
      <c r="Z722" s="18"/>
      <c r="AA722" s="18"/>
      <c r="AB722" s="18"/>
      <c r="AC722" s="18"/>
      <c r="AD722" s="18"/>
      <c r="AE722" s="15"/>
      <c r="AF722" s="15"/>
    </row>
    <row r="723" spans="2:32" x14ac:dyDescent="0.25">
      <c r="B723" s="15" t="str">
        <f t="shared" si="32"/>
        <v/>
      </c>
      <c r="D723" s="1" t="str">
        <f t="shared" si="31"/>
        <v/>
      </c>
      <c r="E723" s="21"/>
      <c r="F723" s="7"/>
      <c r="G723" s="19"/>
      <c r="I723" s="1"/>
      <c r="N723" s="1"/>
      <c r="O723" s="1"/>
      <c r="P723" s="6"/>
      <c r="Q723" s="18"/>
      <c r="R723" s="18"/>
      <c r="S723" s="18"/>
      <c r="T723" s="18"/>
      <c r="U723" s="18"/>
      <c r="V723" s="18"/>
      <c r="W723" s="18"/>
      <c r="X723" s="18"/>
      <c r="Y723" s="18"/>
      <c r="Z723" s="18"/>
      <c r="AA723" s="18"/>
      <c r="AB723" s="18"/>
      <c r="AC723" s="18"/>
      <c r="AD723" s="18"/>
      <c r="AE723" s="15"/>
      <c r="AF723" s="15"/>
    </row>
    <row r="724" spans="2:32" x14ac:dyDescent="0.25">
      <c r="B724" s="15" t="str">
        <f t="shared" si="32"/>
        <v/>
      </c>
      <c r="D724" s="1" t="str">
        <f t="shared" si="31"/>
        <v/>
      </c>
      <c r="E724" s="21"/>
      <c r="F724" s="7"/>
      <c r="G724" s="19"/>
      <c r="I724" s="1"/>
      <c r="N724" s="1"/>
      <c r="O724" s="1"/>
      <c r="P724" s="6"/>
      <c r="Q724" s="18"/>
      <c r="R724" s="18"/>
      <c r="S724" s="18"/>
      <c r="T724" s="18"/>
      <c r="U724" s="18"/>
      <c r="V724" s="18"/>
      <c r="W724" s="18"/>
      <c r="X724" s="18"/>
      <c r="Y724" s="18"/>
      <c r="Z724" s="18"/>
      <c r="AA724" s="18"/>
      <c r="AB724" s="18"/>
      <c r="AC724" s="18"/>
      <c r="AD724" s="18"/>
      <c r="AE724" s="15"/>
      <c r="AF724" s="15"/>
    </row>
    <row r="725" spans="2:32" x14ac:dyDescent="0.25">
      <c r="B725" s="15" t="str">
        <f t="shared" si="32"/>
        <v/>
      </c>
      <c r="D725" s="1" t="str">
        <f t="shared" si="31"/>
        <v/>
      </c>
      <c r="E725" s="21"/>
      <c r="F725" s="7"/>
      <c r="G725" s="19"/>
      <c r="I725" s="1"/>
      <c r="N725" s="1"/>
      <c r="O725" s="1"/>
      <c r="P725" s="6"/>
      <c r="Q725" s="18"/>
      <c r="R725" s="18"/>
      <c r="S725" s="18"/>
      <c r="T725" s="18"/>
      <c r="U725" s="18"/>
      <c r="V725" s="18"/>
      <c r="W725" s="18"/>
      <c r="X725" s="18"/>
      <c r="Y725" s="18"/>
      <c r="Z725" s="18"/>
      <c r="AA725" s="18"/>
      <c r="AB725" s="18"/>
      <c r="AC725" s="18"/>
      <c r="AD725" s="18"/>
      <c r="AE725" s="15"/>
      <c r="AF725" s="15"/>
    </row>
    <row r="726" spans="2:32" x14ac:dyDescent="0.25">
      <c r="B726" s="15" t="str">
        <f t="shared" si="32"/>
        <v/>
      </c>
      <c r="D726" s="1" t="str">
        <f t="shared" si="31"/>
        <v/>
      </c>
      <c r="E726" s="21"/>
      <c r="F726" s="7"/>
      <c r="G726" s="19"/>
      <c r="I726" s="1"/>
      <c r="N726" s="1"/>
      <c r="O726" s="1"/>
      <c r="P726" s="6"/>
      <c r="Q726" s="18"/>
      <c r="R726" s="18"/>
      <c r="S726" s="18"/>
      <c r="T726" s="18"/>
      <c r="U726" s="18"/>
      <c r="V726" s="18"/>
      <c r="W726" s="18"/>
      <c r="X726" s="18"/>
      <c r="Y726" s="18"/>
      <c r="Z726" s="18"/>
      <c r="AA726" s="18"/>
      <c r="AB726" s="18"/>
      <c r="AC726" s="18"/>
      <c r="AD726" s="18"/>
      <c r="AE726" s="15"/>
      <c r="AF726" s="15"/>
    </row>
    <row r="727" spans="2:32" x14ac:dyDescent="0.25">
      <c r="B727" s="15" t="str">
        <f t="shared" si="32"/>
        <v/>
      </c>
      <c r="D727" s="1" t="str">
        <f t="shared" si="31"/>
        <v/>
      </c>
      <c r="E727" s="21"/>
      <c r="F727" s="7"/>
      <c r="G727" s="19"/>
      <c r="I727" s="1"/>
      <c r="N727" s="1"/>
      <c r="O727" s="1"/>
      <c r="P727" s="6"/>
      <c r="Q727" s="18"/>
      <c r="R727" s="18"/>
      <c r="S727" s="18"/>
      <c r="T727" s="18"/>
      <c r="U727" s="18"/>
      <c r="V727" s="18"/>
      <c r="W727" s="18"/>
      <c r="X727" s="18"/>
      <c r="Y727" s="18"/>
      <c r="Z727" s="18"/>
      <c r="AA727" s="18"/>
      <c r="AB727" s="18"/>
      <c r="AC727" s="18"/>
      <c r="AD727" s="18"/>
      <c r="AE727" s="15"/>
      <c r="AF727" s="15"/>
    </row>
    <row r="728" spans="2:32" x14ac:dyDescent="0.25">
      <c r="B728" s="15" t="str">
        <f t="shared" si="32"/>
        <v/>
      </c>
      <c r="D728" s="1" t="str">
        <f t="shared" si="31"/>
        <v/>
      </c>
      <c r="E728" s="21"/>
      <c r="F728" s="7"/>
      <c r="G728" s="19"/>
      <c r="I728" s="1"/>
      <c r="N728" s="1"/>
      <c r="O728" s="1"/>
      <c r="P728" s="6"/>
      <c r="Q728" s="18"/>
      <c r="R728" s="18"/>
      <c r="S728" s="18"/>
      <c r="T728" s="18"/>
      <c r="U728" s="18"/>
      <c r="V728" s="18"/>
      <c r="W728" s="18"/>
      <c r="X728" s="18"/>
      <c r="Y728" s="18"/>
      <c r="Z728" s="18"/>
      <c r="AA728" s="18"/>
      <c r="AB728" s="18"/>
      <c r="AC728" s="18"/>
      <c r="AD728" s="18"/>
      <c r="AE728" s="15"/>
      <c r="AF728" s="15"/>
    </row>
    <row r="729" spans="2:32" x14ac:dyDescent="0.25">
      <c r="B729" s="15" t="str">
        <f t="shared" si="32"/>
        <v/>
      </c>
      <c r="D729" s="1" t="str">
        <f t="shared" si="31"/>
        <v/>
      </c>
      <c r="E729" s="21"/>
      <c r="F729" s="7"/>
      <c r="G729" s="19"/>
      <c r="I729" s="1"/>
      <c r="N729" s="1"/>
      <c r="O729" s="1"/>
      <c r="P729" s="6"/>
      <c r="Q729" s="18"/>
      <c r="R729" s="18"/>
      <c r="S729" s="18"/>
      <c r="T729" s="18"/>
      <c r="U729" s="18"/>
      <c r="V729" s="18"/>
      <c r="W729" s="18"/>
      <c r="X729" s="18"/>
      <c r="Y729" s="18"/>
      <c r="Z729" s="18"/>
      <c r="AA729" s="18"/>
      <c r="AB729" s="18"/>
      <c r="AC729" s="18"/>
      <c r="AD729" s="18"/>
      <c r="AE729" s="15"/>
      <c r="AF729" s="15"/>
    </row>
    <row r="730" spans="2:32" x14ac:dyDescent="0.25">
      <c r="B730" s="15" t="str">
        <f t="shared" si="32"/>
        <v/>
      </c>
      <c r="D730" s="1" t="str">
        <f t="shared" si="31"/>
        <v/>
      </c>
      <c r="E730" s="21"/>
      <c r="F730" s="7"/>
      <c r="G730" s="19"/>
      <c r="I730" s="1"/>
      <c r="N730" s="1"/>
      <c r="O730" s="1"/>
      <c r="P730" s="6"/>
      <c r="Q730" s="18"/>
      <c r="R730" s="18"/>
      <c r="S730" s="18"/>
      <c r="T730" s="18"/>
      <c r="U730" s="18"/>
      <c r="V730" s="18"/>
      <c r="W730" s="18"/>
      <c r="X730" s="18"/>
      <c r="Y730" s="18"/>
      <c r="Z730" s="18"/>
      <c r="AA730" s="18"/>
      <c r="AB730" s="18"/>
      <c r="AC730" s="18"/>
      <c r="AD730" s="18"/>
      <c r="AE730" s="15"/>
      <c r="AF730" s="15"/>
    </row>
    <row r="731" spans="2:32" x14ac:dyDescent="0.25">
      <c r="B731" s="15" t="str">
        <f t="shared" si="32"/>
        <v/>
      </c>
      <c r="D731" s="1" t="str">
        <f t="shared" si="31"/>
        <v/>
      </c>
      <c r="E731" s="21"/>
      <c r="F731" s="7"/>
      <c r="G731" s="19"/>
      <c r="I731" s="1"/>
      <c r="N731" s="1"/>
      <c r="O731" s="1"/>
      <c r="P731" s="6"/>
      <c r="Q731" s="18"/>
      <c r="R731" s="18"/>
      <c r="S731" s="18"/>
      <c r="T731" s="18"/>
      <c r="U731" s="18"/>
      <c r="V731" s="18"/>
      <c r="W731" s="18"/>
      <c r="X731" s="18"/>
      <c r="Y731" s="18"/>
      <c r="Z731" s="18"/>
      <c r="AA731" s="18"/>
      <c r="AB731" s="18"/>
      <c r="AC731" s="18"/>
      <c r="AD731" s="18"/>
      <c r="AE731" s="15"/>
      <c r="AF731" s="15"/>
    </row>
    <row r="732" spans="2:32" x14ac:dyDescent="0.25">
      <c r="B732" s="15" t="str">
        <f t="shared" si="32"/>
        <v/>
      </c>
      <c r="D732" s="1" t="str">
        <f t="shared" si="31"/>
        <v/>
      </c>
      <c r="E732" s="21"/>
      <c r="F732" s="7"/>
      <c r="G732" s="19"/>
      <c r="I732" s="1"/>
      <c r="N732" s="1"/>
      <c r="O732" s="1"/>
      <c r="P732" s="6"/>
      <c r="Q732" s="18"/>
      <c r="R732" s="18"/>
      <c r="S732" s="18"/>
      <c r="T732" s="18"/>
      <c r="U732" s="18"/>
      <c r="V732" s="18"/>
      <c r="W732" s="18"/>
      <c r="X732" s="18"/>
      <c r="Y732" s="18"/>
      <c r="Z732" s="18"/>
      <c r="AA732" s="18"/>
      <c r="AB732" s="18"/>
      <c r="AC732" s="18"/>
      <c r="AD732" s="18"/>
      <c r="AE732" s="15"/>
      <c r="AF732" s="15"/>
    </row>
    <row r="733" spans="2:32" x14ac:dyDescent="0.25">
      <c r="B733" s="15" t="str">
        <f t="shared" si="32"/>
        <v/>
      </c>
      <c r="D733" s="1" t="str">
        <f t="shared" si="31"/>
        <v/>
      </c>
      <c r="E733" s="21"/>
      <c r="F733" s="7"/>
      <c r="G733" s="19"/>
      <c r="I733" s="1"/>
      <c r="N733" s="1"/>
      <c r="O733" s="1"/>
      <c r="P733" s="6"/>
      <c r="Q733" s="18"/>
      <c r="R733" s="18"/>
      <c r="S733" s="18"/>
      <c r="T733" s="18"/>
      <c r="U733" s="18"/>
      <c r="V733" s="18"/>
      <c r="W733" s="18"/>
      <c r="X733" s="18"/>
      <c r="Y733" s="18"/>
      <c r="Z733" s="18"/>
      <c r="AA733" s="18"/>
      <c r="AB733" s="18"/>
      <c r="AC733" s="18"/>
      <c r="AD733" s="18"/>
      <c r="AE733" s="15"/>
      <c r="AF733" s="15"/>
    </row>
    <row r="734" spans="2:32" x14ac:dyDescent="0.25">
      <c r="B734" s="15" t="str">
        <f t="shared" si="32"/>
        <v/>
      </c>
      <c r="D734" s="1" t="str">
        <f t="shared" si="31"/>
        <v/>
      </c>
      <c r="E734" s="21"/>
      <c r="F734" s="7"/>
      <c r="G734" s="19"/>
      <c r="I734" s="1"/>
      <c r="N734" s="1"/>
      <c r="O734" s="1"/>
      <c r="P734" s="6"/>
      <c r="Q734" s="18"/>
      <c r="R734" s="18"/>
      <c r="S734" s="18"/>
      <c r="T734" s="18"/>
      <c r="U734" s="18"/>
      <c r="V734" s="18"/>
      <c r="W734" s="18"/>
      <c r="X734" s="18"/>
      <c r="Y734" s="18"/>
      <c r="Z734" s="18"/>
      <c r="AA734" s="18"/>
      <c r="AB734" s="18"/>
      <c r="AC734" s="18"/>
      <c r="AD734" s="18"/>
      <c r="AE734" s="15"/>
      <c r="AF734" s="15"/>
    </row>
    <row r="735" spans="2:32" x14ac:dyDescent="0.25">
      <c r="B735" s="15" t="str">
        <f t="shared" si="32"/>
        <v/>
      </c>
      <c r="D735" s="1" t="str">
        <f t="shared" si="31"/>
        <v/>
      </c>
      <c r="E735" s="21"/>
      <c r="F735" s="7"/>
      <c r="G735" s="19"/>
      <c r="I735" s="1"/>
      <c r="N735" s="1"/>
      <c r="O735" s="1"/>
      <c r="P735" s="6"/>
      <c r="Q735" s="18"/>
      <c r="R735" s="18"/>
      <c r="S735" s="18"/>
      <c r="T735" s="18"/>
      <c r="U735" s="18"/>
      <c r="V735" s="18"/>
      <c r="W735" s="18"/>
      <c r="X735" s="18"/>
      <c r="Y735" s="18"/>
      <c r="Z735" s="18"/>
      <c r="AA735" s="18"/>
      <c r="AB735" s="18"/>
      <c r="AC735" s="18"/>
      <c r="AD735" s="18"/>
      <c r="AE735" s="15"/>
      <c r="AF735" s="15"/>
    </row>
    <row r="736" spans="2:32" x14ac:dyDescent="0.25">
      <c r="B736" s="15" t="str">
        <f t="shared" si="32"/>
        <v/>
      </c>
      <c r="D736" s="1" t="str">
        <f t="shared" si="31"/>
        <v/>
      </c>
      <c r="E736" s="21"/>
      <c r="F736" s="7"/>
      <c r="G736" s="19"/>
      <c r="I736" s="1"/>
      <c r="N736" s="1"/>
      <c r="O736" s="1"/>
      <c r="P736" s="6"/>
      <c r="Q736" s="18"/>
      <c r="R736" s="18"/>
      <c r="S736" s="18"/>
      <c r="T736" s="18"/>
      <c r="U736" s="18"/>
      <c r="V736" s="18"/>
      <c r="W736" s="18"/>
      <c r="X736" s="18"/>
      <c r="Y736" s="18"/>
      <c r="Z736" s="18"/>
      <c r="AA736" s="18"/>
      <c r="AB736" s="18"/>
      <c r="AC736" s="18"/>
      <c r="AD736" s="18"/>
      <c r="AE736" s="15"/>
      <c r="AF736" s="15"/>
    </row>
    <row r="737" spans="2:32" x14ac:dyDescent="0.25">
      <c r="B737" s="15" t="str">
        <f t="shared" si="32"/>
        <v/>
      </c>
      <c r="D737" s="1" t="str">
        <f t="shared" si="31"/>
        <v/>
      </c>
      <c r="E737" s="21"/>
      <c r="F737" s="7"/>
      <c r="G737" s="19"/>
      <c r="I737" s="1"/>
      <c r="N737" s="1"/>
      <c r="O737" s="1"/>
      <c r="P737" s="6"/>
      <c r="Q737" s="18"/>
      <c r="R737" s="18"/>
      <c r="S737" s="18"/>
      <c r="T737" s="18"/>
      <c r="U737" s="18"/>
      <c r="V737" s="18"/>
      <c r="W737" s="18"/>
      <c r="X737" s="18"/>
      <c r="Y737" s="18"/>
      <c r="Z737" s="18"/>
      <c r="AA737" s="18"/>
      <c r="AB737" s="18"/>
      <c r="AC737" s="18"/>
      <c r="AD737" s="18"/>
      <c r="AE737" s="15"/>
      <c r="AF737" s="15"/>
    </row>
    <row r="738" spans="2:32" x14ac:dyDescent="0.25">
      <c r="B738" s="15" t="str">
        <f t="shared" si="32"/>
        <v/>
      </c>
      <c r="D738" s="1" t="str">
        <f t="shared" si="31"/>
        <v/>
      </c>
      <c r="E738" s="21"/>
      <c r="F738" s="7"/>
      <c r="G738" s="19"/>
      <c r="I738" s="1"/>
      <c r="N738" s="1"/>
      <c r="O738" s="1"/>
      <c r="P738" s="6"/>
      <c r="Q738" s="18"/>
      <c r="R738" s="18"/>
      <c r="S738" s="18"/>
      <c r="T738" s="18"/>
      <c r="U738" s="18"/>
      <c r="V738" s="18"/>
      <c r="W738" s="18"/>
      <c r="X738" s="18"/>
      <c r="Y738" s="18"/>
      <c r="Z738" s="18"/>
      <c r="AA738" s="18"/>
      <c r="AB738" s="18"/>
      <c r="AC738" s="18"/>
      <c r="AD738" s="18"/>
      <c r="AE738" s="15"/>
      <c r="AF738" s="15"/>
    </row>
    <row r="739" spans="2:32" x14ac:dyDescent="0.25">
      <c r="B739" s="15" t="str">
        <f t="shared" si="32"/>
        <v/>
      </c>
      <c r="D739" s="1" t="str">
        <f t="shared" si="31"/>
        <v/>
      </c>
      <c r="E739" s="21"/>
      <c r="F739" s="7"/>
      <c r="G739" s="19"/>
      <c r="I739" s="1"/>
      <c r="N739" s="1"/>
      <c r="O739" s="1"/>
      <c r="P739" s="6"/>
      <c r="Q739" s="18"/>
      <c r="R739" s="18"/>
      <c r="S739" s="18"/>
      <c r="T739" s="18"/>
      <c r="U739" s="18"/>
      <c r="V739" s="18"/>
      <c r="W739" s="18"/>
      <c r="X739" s="18"/>
      <c r="Y739" s="18"/>
      <c r="Z739" s="18"/>
      <c r="AA739" s="18"/>
      <c r="AB739" s="18"/>
      <c r="AC739" s="18"/>
      <c r="AD739" s="18"/>
      <c r="AE739" s="15"/>
      <c r="AF739" s="15"/>
    </row>
    <row r="740" spans="2:32" x14ac:dyDescent="0.25">
      <c r="B740" s="15" t="str">
        <f t="shared" si="32"/>
        <v/>
      </c>
      <c r="D740" s="1" t="str">
        <f t="shared" si="31"/>
        <v/>
      </c>
      <c r="E740" s="21"/>
      <c r="F740" s="7"/>
      <c r="G740" s="19"/>
      <c r="I740" s="1"/>
      <c r="N740" s="1"/>
      <c r="O740" s="1"/>
      <c r="P740" s="6"/>
      <c r="Q740" s="18"/>
      <c r="R740" s="18"/>
      <c r="S740" s="18"/>
      <c r="T740" s="18"/>
      <c r="U740" s="18"/>
      <c r="V740" s="18"/>
      <c r="W740" s="18"/>
      <c r="X740" s="18"/>
      <c r="Y740" s="18"/>
      <c r="Z740" s="18"/>
      <c r="AA740" s="18"/>
      <c r="AB740" s="18"/>
      <c r="AC740" s="18"/>
      <c r="AD740" s="18"/>
      <c r="AE740" s="15"/>
      <c r="AF740" s="15"/>
    </row>
    <row r="741" spans="2:32" x14ac:dyDescent="0.25">
      <c r="B741" s="15" t="str">
        <f t="shared" si="32"/>
        <v/>
      </c>
      <c r="D741" s="1" t="str">
        <f t="shared" si="31"/>
        <v/>
      </c>
      <c r="E741" s="21"/>
      <c r="F741" s="7"/>
      <c r="G741" s="19"/>
      <c r="I741" s="1"/>
      <c r="N741" s="1"/>
      <c r="O741" s="1"/>
      <c r="P741" s="6"/>
      <c r="Q741" s="18"/>
      <c r="R741" s="18"/>
      <c r="S741" s="18"/>
      <c r="T741" s="18"/>
      <c r="U741" s="18"/>
      <c r="V741" s="18"/>
      <c r="W741" s="18"/>
      <c r="X741" s="18"/>
      <c r="Y741" s="18"/>
      <c r="Z741" s="18"/>
      <c r="AA741" s="18"/>
      <c r="AB741" s="18"/>
      <c r="AC741" s="18"/>
      <c r="AD741" s="18"/>
      <c r="AE741" s="15"/>
      <c r="AF741" s="15"/>
    </row>
    <row r="742" spans="2:32" x14ac:dyDescent="0.25">
      <c r="B742" s="15" t="str">
        <f t="shared" si="32"/>
        <v/>
      </c>
      <c r="D742" s="1" t="str">
        <f t="shared" si="31"/>
        <v/>
      </c>
      <c r="E742" s="21"/>
      <c r="F742" s="7"/>
      <c r="G742" s="19"/>
      <c r="I742" s="1"/>
      <c r="N742" s="1"/>
      <c r="O742" s="1"/>
      <c r="P742" s="6"/>
      <c r="Q742" s="18"/>
      <c r="R742" s="18"/>
      <c r="S742" s="18"/>
      <c r="T742" s="18"/>
      <c r="U742" s="18"/>
      <c r="V742" s="18"/>
      <c r="W742" s="18"/>
      <c r="X742" s="18"/>
      <c r="Y742" s="18"/>
      <c r="Z742" s="18"/>
      <c r="AA742" s="18"/>
      <c r="AB742" s="18"/>
      <c r="AC742" s="18"/>
      <c r="AD742" s="18"/>
      <c r="AE742" s="15"/>
      <c r="AF742" s="15"/>
    </row>
    <row r="743" spans="2:32" x14ac:dyDescent="0.25">
      <c r="B743" s="15" t="str">
        <f t="shared" si="32"/>
        <v/>
      </c>
      <c r="D743" s="1" t="str">
        <f t="shared" si="31"/>
        <v/>
      </c>
      <c r="E743" s="21"/>
      <c r="F743" s="7"/>
      <c r="G743" s="19"/>
      <c r="I743" s="1"/>
      <c r="N743" s="1"/>
      <c r="O743" s="1"/>
      <c r="P743" s="6"/>
      <c r="Q743" s="18"/>
      <c r="R743" s="18"/>
      <c r="S743" s="18"/>
      <c r="T743" s="18"/>
      <c r="U743" s="18"/>
      <c r="V743" s="18"/>
      <c r="W743" s="18"/>
      <c r="X743" s="18"/>
      <c r="Y743" s="18"/>
      <c r="Z743" s="18"/>
      <c r="AA743" s="18"/>
      <c r="AB743" s="18"/>
      <c r="AC743" s="18"/>
      <c r="AD743" s="18"/>
      <c r="AE743" s="15"/>
      <c r="AF743" s="15"/>
    </row>
    <row r="744" spans="2:32" x14ac:dyDescent="0.25">
      <c r="B744" s="15" t="str">
        <f t="shared" si="32"/>
        <v/>
      </c>
      <c r="D744" s="1" t="str">
        <f t="shared" si="31"/>
        <v/>
      </c>
      <c r="E744" s="21"/>
      <c r="F744" s="7"/>
      <c r="G744" s="19"/>
      <c r="I744" s="1"/>
      <c r="N744" s="1"/>
      <c r="O744" s="1"/>
      <c r="P744" s="6"/>
      <c r="Q744" s="18"/>
      <c r="R744" s="18"/>
      <c r="S744" s="18"/>
      <c r="T744" s="18"/>
      <c r="U744" s="18"/>
      <c r="V744" s="18"/>
      <c r="W744" s="18"/>
      <c r="X744" s="18"/>
      <c r="Y744" s="18"/>
      <c r="Z744" s="18"/>
      <c r="AA744" s="18"/>
      <c r="AB744" s="18"/>
      <c r="AC744" s="18"/>
      <c r="AD744" s="18"/>
      <c r="AE744" s="15"/>
      <c r="AF744" s="15"/>
    </row>
    <row r="745" spans="2:32" x14ac:dyDescent="0.25">
      <c r="B745" s="15" t="str">
        <f t="shared" si="32"/>
        <v/>
      </c>
      <c r="D745" s="1" t="str">
        <f t="shared" si="31"/>
        <v/>
      </c>
      <c r="E745" s="21"/>
      <c r="F745" s="7"/>
      <c r="G745" s="19"/>
      <c r="I745" s="1"/>
      <c r="N745" s="1"/>
      <c r="O745" s="1"/>
      <c r="P745" s="6"/>
      <c r="Q745" s="18"/>
      <c r="R745" s="18"/>
      <c r="S745" s="18"/>
      <c r="T745" s="18"/>
      <c r="U745" s="18"/>
      <c r="V745" s="18"/>
      <c r="W745" s="18"/>
      <c r="X745" s="18"/>
      <c r="Y745" s="18"/>
      <c r="Z745" s="18"/>
      <c r="AA745" s="18"/>
      <c r="AB745" s="18"/>
      <c r="AC745" s="18"/>
      <c r="AD745" s="18"/>
      <c r="AE745" s="15"/>
      <c r="AF745" s="15"/>
    </row>
    <row r="746" spans="2:32" x14ac:dyDescent="0.25">
      <c r="B746" s="15" t="str">
        <f t="shared" si="32"/>
        <v/>
      </c>
      <c r="D746" s="1" t="str">
        <f t="shared" si="31"/>
        <v/>
      </c>
      <c r="E746" s="21"/>
      <c r="F746" s="7"/>
      <c r="G746" s="19"/>
      <c r="I746" s="1"/>
      <c r="N746" s="1"/>
      <c r="O746" s="1"/>
      <c r="P746" s="6"/>
      <c r="Q746" s="18"/>
      <c r="R746" s="18"/>
      <c r="S746" s="18"/>
      <c r="T746" s="18"/>
      <c r="U746" s="18"/>
      <c r="V746" s="18"/>
      <c r="W746" s="18"/>
      <c r="X746" s="18"/>
      <c r="Y746" s="18"/>
      <c r="Z746" s="18"/>
      <c r="AA746" s="18"/>
      <c r="AB746" s="18"/>
      <c r="AC746" s="18"/>
      <c r="AD746" s="18"/>
      <c r="AE746" s="15"/>
      <c r="AF746" s="15"/>
    </row>
    <row r="747" spans="2:32" x14ac:dyDescent="0.25">
      <c r="B747" s="15" t="str">
        <f t="shared" si="32"/>
        <v/>
      </c>
      <c r="D747" s="1" t="str">
        <f t="shared" si="31"/>
        <v/>
      </c>
      <c r="E747" s="21"/>
      <c r="F747" s="7"/>
      <c r="G747" s="19"/>
      <c r="I747" s="1"/>
      <c r="N747" s="1"/>
      <c r="O747" s="1"/>
      <c r="P747" s="6"/>
      <c r="Q747" s="6"/>
      <c r="R747" s="6"/>
      <c r="S747" s="6"/>
      <c r="T747" s="6"/>
      <c r="U747" s="6"/>
      <c r="V747" s="6"/>
      <c r="W747" s="6"/>
      <c r="X747" s="6"/>
      <c r="Y747" s="6"/>
      <c r="Z747" s="6"/>
      <c r="AA747" s="6"/>
      <c r="AB747" s="6"/>
      <c r="AC747" s="6"/>
      <c r="AD747" s="6"/>
    </row>
    <row r="748" spans="2:32" x14ac:dyDescent="0.25">
      <c r="B748" s="15" t="str">
        <f t="shared" si="32"/>
        <v/>
      </c>
      <c r="D748" s="1" t="str">
        <f t="shared" si="31"/>
        <v/>
      </c>
      <c r="E748" s="21"/>
      <c r="F748" s="7"/>
      <c r="G748" s="19"/>
      <c r="I748" s="1"/>
      <c r="N748" s="1"/>
      <c r="O748" s="1"/>
      <c r="P748" s="6"/>
      <c r="Q748" s="6"/>
      <c r="R748" s="6"/>
      <c r="S748" s="6"/>
      <c r="T748" s="6"/>
      <c r="U748" s="6"/>
      <c r="V748" s="6"/>
      <c r="W748" s="6"/>
      <c r="X748" s="6"/>
      <c r="Y748" s="6"/>
      <c r="Z748" s="6"/>
      <c r="AA748" s="6"/>
      <c r="AB748" s="6"/>
      <c r="AC748" s="6"/>
      <c r="AD748" s="6"/>
    </row>
    <row r="749" spans="2:32" x14ac:dyDescent="0.25">
      <c r="B749" s="15" t="str">
        <f t="shared" si="32"/>
        <v/>
      </c>
      <c r="D749" s="1" t="str">
        <f t="shared" si="31"/>
        <v/>
      </c>
      <c r="E749" s="21"/>
      <c r="F749" s="7"/>
      <c r="G749" s="19"/>
      <c r="I749" s="1"/>
      <c r="N749" s="1"/>
      <c r="O749" s="1"/>
      <c r="P749" s="6"/>
      <c r="Q749" s="6"/>
      <c r="R749" s="6"/>
      <c r="S749" s="6"/>
      <c r="T749" s="6"/>
      <c r="U749" s="6"/>
      <c r="V749" s="6"/>
      <c r="W749" s="6"/>
      <c r="X749" s="6"/>
      <c r="Y749" s="6"/>
      <c r="Z749" s="6"/>
      <c r="AA749" s="6"/>
      <c r="AB749" s="6"/>
      <c r="AC749" s="6"/>
      <c r="AD749" s="6"/>
    </row>
    <row r="750" spans="2:32" x14ac:dyDescent="0.25">
      <c r="B750" s="15" t="str">
        <f t="shared" si="32"/>
        <v/>
      </c>
      <c r="D750" s="1" t="str">
        <f t="shared" si="31"/>
        <v/>
      </c>
      <c r="E750" s="21"/>
      <c r="F750" s="7"/>
      <c r="G750" s="19"/>
      <c r="I750" s="1"/>
      <c r="N750" s="1"/>
      <c r="O750" s="1"/>
      <c r="P750" s="6"/>
      <c r="Q750" s="6"/>
      <c r="R750" s="6"/>
      <c r="S750" s="6"/>
      <c r="T750" s="6"/>
      <c r="U750" s="6"/>
      <c r="V750" s="6"/>
      <c r="W750" s="6"/>
      <c r="X750" s="6"/>
      <c r="Y750" s="6"/>
      <c r="Z750" s="6"/>
      <c r="AA750" s="6"/>
      <c r="AB750" s="6"/>
      <c r="AC750" s="6"/>
      <c r="AD750" s="6"/>
    </row>
    <row r="751" spans="2:32" x14ac:dyDescent="0.25">
      <c r="B751" s="15" t="str">
        <f t="shared" si="32"/>
        <v/>
      </c>
      <c r="D751" s="1" t="str">
        <f t="shared" si="31"/>
        <v/>
      </c>
      <c r="E751" s="21"/>
      <c r="F751" s="7"/>
      <c r="G751" s="19"/>
      <c r="I751" s="1"/>
      <c r="N751" s="1"/>
      <c r="O751" s="1"/>
      <c r="P751" s="6"/>
      <c r="Q751" s="6"/>
      <c r="R751" s="6"/>
      <c r="S751" s="6"/>
      <c r="T751" s="6"/>
      <c r="U751" s="6"/>
      <c r="V751" s="6"/>
      <c r="W751" s="6"/>
      <c r="X751" s="6"/>
      <c r="Y751" s="6"/>
      <c r="Z751" s="6"/>
      <c r="AA751" s="6"/>
      <c r="AB751" s="6"/>
      <c r="AC751" s="6"/>
      <c r="AD751" s="6"/>
    </row>
    <row r="752" spans="2:32" x14ac:dyDescent="0.25">
      <c r="B752" s="15" t="str">
        <f t="shared" si="32"/>
        <v/>
      </c>
      <c r="D752" s="1" t="str">
        <f t="shared" si="31"/>
        <v/>
      </c>
      <c r="E752" s="21"/>
      <c r="F752" s="7"/>
      <c r="G752" s="19"/>
      <c r="I752" s="1"/>
      <c r="N752" s="1"/>
      <c r="O752" s="1"/>
      <c r="P752" s="6"/>
      <c r="Q752" s="6"/>
      <c r="R752" s="6"/>
      <c r="S752" s="6"/>
      <c r="T752" s="6"/>
      <c r="U752" s="6"/>
      <c r="V752" s="6"/>
      <c r="W752" s="6"/>
      <c r="X752" s="6"/>
      <c r="Y752" s="6"/>
      <c r="Z752" s="6"/>
      <c r="AA752" s="6"/>
      <c r="AB752" s="6"/>
      <c r="AC752" s="6"/>
      <c r="AD752" s="6"/>
    </row>
    <row r="753" spans="2:30" x14ac:dyDescent="0.25">
      <c r="B753" s="15" t="str">
        <f t="shared" si="32"/>
        <v/>
      </c>
      <c r="D753" s="1" t="str">
        <f t="shared" si="31"/>
        <v/>
      </c>
      <c r="E753" s="21"/>
      <c r="F753" s="7"/>
      <c r="G753" s="19"/>
      <c r="I753" s="1"/>
      <c r="N753" s="1"/>
      <c r="O753" s="1"/>
      <c r="P753" s="6"/>
      <c r="Q753" s="6"/>
      <c r="R753" s="6"/>
      <c r="S753" s="6"/>
      <c r="T753" s="6"/>
      <c r="U753" s="6"/>
      <c r="V753" s="6"/>
      <c r="W753" s="6"/>
      <c r="X753" s="6"/>
      <c r="Y753" s="6"/>
      <c r="Z753" s="6"/>
      <c r="AA753" s="6"/>
      <c r="AB753" s="6"/>
      <c r="AC753" s="6"/>
      <c r="AD753" s="6"/>
    </row>
    <row r="754" spans="2:30" x14ac:dyDescent="0.25">
      <c r="B754" s="15" t="str">
        <f t="shared" si="32"/>
        <v/>
      </c>
      <c r="D754" s="1" t="str">
        <f t="shared" si="31"/>
        <v/>
      </c>
      <c r="E754" s="21"/>
      <c r="F754" s="7"/>
      <c r="G754" s="19"/>
      <c r="I754" s="1"/>
      <c r="N754" s="1"/>
      <c r="O754" s="1"/>
      <c r="P754" s="6"/>
      <c r="Q754" s="6"/>
      <c r="R754" s="6"/>
      <c r="S754" s="6"/>
      <c r="T754" s="6"/>
      <c r="U754" s="6"/>
      <c r="V754" s="6"/>
      <c r="W754" s="6"/>
      <c r="X754" s="6"/>
      <c r="Y754" s="6"/>
      <c r="Z754" s="6"/>
      <c r="AA754" s="6"/>
      <c r="AB754" s="6"/>
      <c r="AC754" s="6"/>
      <c r="AD754" s="6"/>
    </row>
    <row r="755" spans="2:30" x14ac:dyDescent="0.25">
      <c r="B755" s="15" t="str">
        <f t="shared" si="32"/>
        <v/>
      </c>
      <c r="D755" s="1" t="str">
        <f t="shared" si="31"/>
        <v/>
      </c>
      <c r="E755" s="21"/>
      <c r="F755" s="7"/>
      <c r="G755" s="19"/>
      <c r="I755" s="1"/>
      <c r="N755" s="1"/>
      <c r="O755" s="1"/>
      <c r="P755" s="6"/>
      <c r="Q755" s="6"/>
      <c r="R755" s="6"/>
      <c r="S755" s="6"/>
      <c r="T755" s="6"/>
      <c r="U755" s="6"/>
      <c r="V755" s="6"/>
      <c r="W755" s="6"/>
      <c r="X755" s="6"/>
      <c r="Y755" s="6"/>
      <c r="Z755" s="6"/>
      <c r="AA755" s="6"/>
      <c r="AB755" s="6"/>
      <c r="AC755" s="6"/>
      <c r="AD755" s="6"/>
    </row>
    <row r="756" spans="2:30" x14ac:dyDescent="0.25">
      <c r="B756" s="15" t="str">
        <f t="shared" si="32"/>
        <v/>
      </c>
      <c r="D756" s="1" t="str">
        <f t="shared" si="31"/>
        <v/>
      </c>
      <c r="E756" s="21"/>
      <c r="F756" s="7"/>
      <c r="G756" s="19"/>
      <c r="I756" s="1"/>
      <c r="N756" s="1"/>
      <c r="O756" s="1"/>
      <c r="P756" s="6"/>
      <c r="Q756" s="6"/>
      <c r="R756" s="6"/>
      <c r="S756" s="6"/>
      <c r="T756" s="6"/>
      <c r="U756" s="6"/>
      <c r="V756" s="6"/>
      <c r="W756" s="6"/>
      <c r="X756" s="6"/>
      <c r="Y756" s="6"/>
      <c r="Z756" s="6"/>
      <c r="AA756" s="6"/>
      <c r="AB756" s="6"/>
      <c r="AC756" s="6"/>
      <c r="AD756" s="6"/>
    </row>
    <row r="757" spans="2:30" x14ac:dyDescent="0.25">
      <c r="B757" s="15" t="str">
        <f t="shared" si="32"/>
        <v/>
      </c>
      <c r="D757" s="1" t="str">
        <f t="shared" si="31"/>
        <v/>
      </c>
      <c r="E757" s="21"/>
      <c r="F757" s="7"/>
      <c r="G757" s="19"/>
      <c r="I757" s="1"/>
      <c r="N757" s="1"/>
      <c r="O757" s="1"/>
      <c r="P757" s="6"/>
      <c r="Q757" s="6"/>
      <c r="R757" s="6"/>
      <c r="S757" s="6"/>
      <c r="T757" s="6"/>
      <c r="U757" s="6"/>
      <c r="V757" s="6"/>
      <c r="W757" s="6"/>
      <c r="X757" s="6"/>
      <c r="Y757" s="6"/>
      <c r="Z757" s="6"/>
      <c r="AA757" s="6"/>
      <c r="AB757" s="6"/>
      <c r="AC757" s="6"/>
      <c r="AD757" s="6"/>
    </row>
    <row r="758" spans="2:30" x14ac:dyDescent="0.25">
      <c r="B758" s="15" t="str">
        <f t="shared" si="32"/>
        <v/>
      </c>
      <c r="D758" s="1" t="str">
        <f t="shared" si="31"/>
        <v/>
      </c>
      <c r="E758" s="21"/>
      <c r="F758" s="7"/>
      <c r="G758" s="19"/>
      <c r="I758" s="1"/>
      <c r="N758" s="1"/>
      <c r="O758" s="1"/>
      <c r="P758" s="6"/>
      <c r="Q758" s="6"/>
      <c r="R758" s="6"/>
      <c r="S758" s="6"/>
      <c r="T758" s="6"/>
      <c r="U758" s="6"/>
      <c r="V758" s="6"/>
      <c r="W758" s="6"/>
      <c r="X758" s="6"/>
      <c r="Y758" s="6"/>
      <c r="Z758" s="6"/>
      <c r="AA758" s="6"/>
      <c r="AB758" s="6"/>
      <c r="AC758" s="6"/>
      <c r="AD758" s="6"/>
    </row>
    <row r="759" spans="2:30" x14ac:dyDescent="0.25">
      <c r="B759" s="15" t="str">
        <f t="shared" si="32"/>
        <v/>
      </c>
      <c r="D759" s="1" t="str">
        <f t="shared" si="31"/>
        <v/>
      </c>
      <c r="E759" s="21"/>
      <c r="F759" s="7"/>
      <c r="G759" s="19"/>
      <c r="I759" s="1"/>
      <c r="N759" s="1"/>
      <c r="O759" s="1"/>
      <c r="P759" s="6"/>
      <c r="Q759" s="6"/>
      <c r="R759" s="6"/>
      <c r="S759" s="6"/>
      <c r="T759" s="6"/>
      <c r="U759" s="6"/>
      <c r="V759" s="6"/>
      <c r="W759" s="6"/>
      <c r="X759" s="6"/>
      <c r="Y759" s="6"/>
      <c r="Z759" s="6"/>
      <c r="AA759" s="6"/>
      <c r="AB759" s="6"/>
      <c r="AC759" s="6"/>
      <c r="AD759" s="6"/>
    </row>
    <row r="760" spans="2:30" x14ac:dyDescent="0.25">
      <c r="B760" s="15" t="str">
        <f t="shared" si="32"/>
        <v/>
      </c>
      <c r="D760" s="1" t="str">
        <f t="shared" si="31"/>
        <v/>
      </c>
      <c r="E760" s="21"/>
      <c r="F760" s="7"/>
      <c r="G760" s="19"/>
      <c r="I760" s="1"/>
      <c r="N760" s="1"/>
      <c r="O760" s="1"/>
      <c r="P760" s="6"/>
      <c r="Q760" s="6"/>
      <c r="R760" s="6"/>
      <c r="S760" s="6"/>
      <c r="T760" s="6"/>
      <c r="U760" s="6"/>
      <c r="V760" s="6"/>
      <c r="W760" s="6"/>
      <c r="X760" s="6"/>
      <c r="Y760" s="6"/>
      <c r="Z760" s="6"/>
      <c r="AA760" s="6"/>
      <c r="AB760" s="6"/>
      <c r="AC760" s="6"/>
      <c r="AD760" s="6"/>
    </row>
    <row r="761" spans="2:30" x14ac:dyDescent="0.25">
      <c r="B761" s="15" t="str">
        <f t="shared" si="32"/>
        <v/>
      </c>
      <c r="D761" s="1" t="str">
        <f t="shared" si="31"/>
        <v/>
      </c>
      <c r="E761" s="21"/>
      <c r="F761" s="7"/>
      <c r="G761" s="19"/>
      <c r="I761" s="1"/>
      <c r="N761" s="1"/>
      <c r="O761" s="1"/>
      <c r="P761" s="6"/>
      <c r="Q761" s="6"/>
      <c r="R761" s="6"/>
      <c r="S761" s="6"/>
      <c r="T761" s="6"/>
      <c r="U761" s="6"/>
      <c r="V761" s="6"/>
      <c r="W761" s="6"/>
      <c r="X761" s="6"/>
      <c r="Y761" s="6"/>
      <c r="Z761" s="6"/>
      <c r="AA761" s="6"/>
      <c r="AB761" s="6"/>
      <c r="AC761" s="6"/>
      <c r="AD761" s="6"/>
    </row>
    <row r="762" spans="2:30" x14ac:dyDescent="0.25">
      <c r="B762" s="15" t="str">
        <f t="shared" si="32"/>
        <v/>
      </c>
      <c r="D762" s="1" t="str">
        <f t="shared" si="31"/>
        <v/>
      </c>
      <c r="E762" s="21"/>
      <c r="F762" s="7"/>
      <c r="G762" s="19"/>
      <c r="I762" s="1"/>
      <c r="N762" s="1"/>
      <c r="O762" s="1"/>
      <c r="P762" s="6"/>
      <c r="Q762" s="6"/>
      <c r="R762" s="6"/>
      <c r="S762" s="6"/>
      <c r="T762" s="6"/>
      <c r="U762" s="6"/>
      <c r="V762" s="6"/>
      <c r="W762" s="6"/>
      <c r="X762" s="6"/>
      <c r="Y762" s="6"/>
      <c r="Z762" s="6"/>
      <c r="AA762" s="6"/>
      <c r="AB762" s="6"/>
      <c r="AC762" s="6"/>
      <c r="AD762" s="6"/>
    </row>
    <row r="763" spans="2:30" x14ac:dyDescent="0.25">
      <c r="B763" s="15" t="str">
        <f t="shared" si="32"/>
        <v/>
      </c>
      <c r="D763" s="1" t="str">
        <f t="shared" si="31"/>
        <v/>
      </c>
      <c r="E763" s="21"/>
      <c r="F763" s="7"/>
      <c r="G763" s="19"/>
      <c r="I763" s="1"/>
      <c r="N763" s="1"/>
      <c r="O763" s="1"/>
      <c r="P763" s="6"/>
      <c r="Q763" s="6"/>
      <c r="R763" s="6"/>
      <c r="S763" s="6"/>
      <c r="T763" s="6"/>
      <c r="U763" s="6"/>
      <c r="V763" s="6"/>
      <c r="W763" s="6"/>
      <c r="X763" s="6"/>
      <c r="Y763" s="6"/>
      <c r="Z763" s="6"/>
      <c r="AA763" s="6"/>
      <c r="AB763" s="6"/>
      <c r="AC763" s="6"/>
      <c r="AD763" s="6"/>
    </row>
    <row r="764" spans="2:30" x14ac:dyDescent="0.25">
      <c r="B764" s="15" t="str">
        <f t="shared" si="32"/>
        <v/>
      </c>
      <c r="D764" s="1" t="str">
        <f t="shared" si="31"/>
        <v/>
      </c>
      <c r="E764" s="21"/>
      <c r="F764" s="7"/>
      <c r="G764" s="19"/>
      <c r="I764" s="1"/>
      <c r="N764" s="1"/>
      <c r="O764" s="1"/>
      <c r="P764" s="6"/>
      <c r="Q764" s="6"/>
      <c r="R764" s="6"/>
      <c r="S764" s="6"/>
      <c r="T764" s="6"/>
      <c r="U764" s="6"/>
      <c r="V764" s="6"/>
      <c r="W764" s="6"/>
      <c r="X764" s="6"/>
      <c r="Y764" s="6"/>
      <c r="Z764" s="6"/>
      <c r="AA764" s="6"/>
      <c r="AB764" s="6"/>
      <c r="AC764" s="6"/>
      <c r="AD764" s="6"/>
    </row>
    <row r="765" spans="2:30" x14ac:dyDescent="0.25">
      <c r="B765" s="15" t="str">
        <f t="shared" si="32"/>
        <v/>
      </c>
      <c r="D765" s="1" t="str">
        <f t="shared" si="31"/>
        <v/>
      </c>
      <c r="E765" s="21"/>
      <c r="F765" s="7"/>
      <c r="G765" s="19"/>
      <c r="I765" s="1"/>
      <c r="N765" s="1"/>
      <c r="O765" s="1"/>
      <c r="P765" s="6"/>
      <c r="Q765" s="6"/>
      <c r="R765" s="6"/>
      <c r="S765" s="6"/>
      <c r="T765" s="6"/>
      <c r="U765" s="6"/>
      <c r="V765" s="6"/>
      <c r="W765" s="6"/>
      <c r="X765" s="6"/>
      <c r="Y765" s="6"/>
      <c r="Z765" s="6"/>
      <c r="AA765" s="6"/>
      <c r="AB765" s="6"/>
      <c r="AC765" s="6"/>
      <c r="AD765" s="6"/>
    </row>
    <row r="766" spans="2:30" x14ac:dyDescent="0.25">
      <c r="B766" s="15" t="str">
        <f t="shared" si="32"/>
        <v/>
      </c>
      <c r="D766" s="1" t="str">
        <f t="shared" si="31"/>
        <v/>
      </c>
      <c r="E766" s="21"/>
      <c r="F766" s="7"/>
      <c r="G766" s="19"/>
      <c r="I766" s="1"/>
      <c r="N766" s="1"/>
      <c r="O766" s="1"/>
      <c r="P766" s="6"/>
      <c r="Q766" s="6"/>
      <c r="R766" s="6"/>
      <c r="S766" s="6"/>
      <c r="T766" s="6"/>
      <c r="U766" s="6"/>
      <c r="V766" s="6"/>
      <c r="W766" s="6"/>
      <c r="X766" s="6"/>
      <c r="Y766" s="6"/>
      <c r="Z766" s="6"/>
      <c r="AA766" s="6"/>
      <c r="AB766" s="6"/>
      <c r="AC766" s="6"/>
      <c r="AD766" s="6"/>
    </row>
    <row r="767" spans="2:30" x14ac:dyDescent="0.25">
      <c r="B767" s="15" t="str">
        <f t="shared" si="32"/>
        <v/>
      </c>
      <c r="D767" s="1" t="str">
        <f t="shared" si="31"/>
        <v/>
      </c>
      <c r="E767" s="21"/>
      <c r="F767" s="7"/>
      <c r="G767" s="19"/>
      <c r="I767" s="1"/>
      <c r="N767" s="1"/>
      <c r="O767" s="1"/>
      <c r="P767" s="6"/>
      <c r="Q767" s="6"/>
      <c r="R767" s="6"/>
      <c r="S767" s="6"/>
      <c r="T767" s="6"/>
      <c r="U767" s="6"/>
      <c r="V767" s="6"/>
      <c r="W767" s="6"/>
      <c r="X767" s="6"/>
      <c r="Y767" s="6"/>
      <c r="Z767" s="6"/>
      <c r="AA767" s="6"/>
      <c r="AB767" s="6"/>
      <c r="AC767" s="6"/>
      <c r="AD767" s="6"/>
    </row>
    <row r="768" spans="2:30" x14ac:dyDescent="0.25">
      <c r="B768" s="15" t="str">
        <f t="shared" si="32"/>
        <v/>
      </c>
      <c r="D768" s="1" t="str">
        <f t="shared" si="31"/>
        <v/>
      </c>
      <c r="E768" s="21"/>
      <c r="F768" s="7"/>
      <c r="G768" s="19"/>
      <c r="I768" s="1"/>
      <c r="N768" s="1"/>
      <c r="O768" s="1"/>
      <c r="P768" s="6"/>
      <c r="Q768" s="6"/>
      <c r="R768" s="6"/>
      <c r="S768" s="6"/>
      <c r="T768" s="6"/>
      <c r="U768" s="6"/>
      <c r="V768" s="6"/>
      <c r="W768" s="6"/>
      <c r="X768" s="6"/>
      <c r="Y768" s="6"/>
      <c r="Z768" s="6"/>
      <c r="AA768" s="6"/>
      <c r="AB768" s="6"/>
      <c r="AC768" s="6"/>
      <c r="AD768" s="6"/>
    </row>
    <row r="769" spans="2:30" x14ac:dyDescent="0.25">
      <c r="B769" s="15" t="str">
        <f t="shared" si="32"/>
        <v/>
      </c>
      <c r="D769" s="1" t="str">
        <f t="shared" si="31"/>
        <v/>
      </c>
      <c r="E769" s="21"/>
      <c r="F769" s="7"/>
      <c r="G769" s="19"/>
      <c r="I769" s="1"/>
      <c r="N769" s="1"/>
      <c r="O769" s="1"/>
      <c r="P769" s="6"/>
      <c r="Q769" s="6"/>
      <c r="R769" s="6"/>
      <c r="S769" s="6"/>
      <c r="T769" s="6"/>
      <c r="U769" s="6"/>
      <c r="V769" s="6"/>
      <c r="W769" s="6"/>
      <c r="X769" s="6"/>
      <c r="Y769" s="6"/>
      <c r="Z769" s="6"/>
      <c r="AA769" s="6"/>
      <c r="AB769" s="6"/>
      <c r="AC769" s="6"/>
      <c r="AD769" s="6"/>
    </row>
    <row r="770" spans="2:30" x14ac:dyDescent="0.25">
      <c r="B770" s="15" t="str">
        <f t="shared" si="32"/>
        <v/>
      </c>
      <c r="D770" s="1" t="str">
        <f t="shared" si="31"/>
        <v/>
      </c>
      <c r="E770" s="21"/>
      <c r="F770" s="7"/>
      <c r="G770" s="19"/>
      <c r="I770" s="1"/>
      <c r="N770" s="1"/>
      <c r="O770" s="1"/>
      <c r="P770" s="6"/>
      <c r="Q770" s="6"/>
      <c r="R770" s="6"/>
      <c r="S770" s="6"/>
      <c r="T770" s="6"/>
      <c r="U770" s="6"/>
      <c r="V770" s="6"/>
      <c r="W770" s="6"/>
      <c r="X770" s="6"/>
      <c r="Y770" s="6"/>
      <c r="Z770" s="6"/>
      <c r="AA770" s="6"/>
      <c r="AB770" s="6"/>
      <c r="AC770" s="6"/>
      <c r="AD770" s="6"/>
    </row>
    <row r="771" spans="2:30" x14ac:dyDescent="0.25">
      <c r="B771" s="15" t="str">
        <f t="shared" si="32"/>
        <v/>
      </c>
      <c r="D771" s="1" t="str">
        <f t="shared" ref="D771:D834" si="33">IF(C771=0,"",TEXT($C771,"dddd"))</f>
        <v/>
      </c>
      <c r="E771" s="21"/>
      <c r="F771" s="7"/>
      <c r="G771" s="19"/>
      <c r="I771" s="1"/>
      <c r="N771" s="1"/>
      <c r="O771" s="1"/>
      <c r="P771" s="6"/>
      <c r="Q771" s="6"/>
      <c r="R771" s="6"/>
      <c r="S771" s="6"/>
      <c r="T771" s="6"/>
      <c r="U771" s="6"/>
      <c r="V771" s="6"/>
      <c r="W771" s="6"/>
      <c r="X771" s="6"/>
      <c r="Y771" s="6"/>
      <c r="Z771" s="6"/>
      <c r="AA771" s="6"/>
      <c r="AB771" s="6"/>
      <c r="AC771" s="6"/>
      <c r="AD771" s="6"/>
    </row>
    <row r="772" spans="2:30" x14ac:dyDescent="0.25">
      <c r="B772" s="15" t="str">
        <f t="shared" si="32"/>
        <v/>
      </c>
      <c r="D772" s="1" t="str">
        <f t="shared" si="33"/>
        <v/>
      </c>
      <c r="E772" s="21"/>
      <c r="F772" s="7"/>
      <c r="G772" s="19"/>
      <c r="I772" s="1"/>
      <c r="N772" s="1"/>
      <c r="O772" s="1"/>
      <c r="P772" s="6"/>
      <c r="Q772" s="6"/>
      <c r="R772" s="6"/>
      <c r="S772" s="6"/>
      <c r="T772" s="6"/>
      <c r="U772" s="6"/>
      <c r="V772" s="6"/>
      <c r="W772" s="6"/>
      <c r="X772" s="6"/>
      <c r="Y772" s="6"/>
      <c r="Z772" s="6"/>
      <c r="AA772" s="6"/>
      <c r="AB772" s="6"/>
      <c r="AC772" s="6"/>
      <c r="AD772" s="6"/>
    </row>
    <row r="773" spans="2:30" x14ac:dyDescent="0.25">
      <c r="B773" s="15" t="str">
        <f t="shared" si="32"/>
        <v/>
      </c>
      <c r="D773" s="1" t="str">
        <f t="shared" si="33"/>
        <v/>
      </c>
      <c r="E773" s="21"/>
      <c r="F773" s="7"/>
      <c r="G773" s="19"/>
      <c r="I773" s="1"/>
      <c r="N773" s="1"/>
      <c r="O773" s="1"/>
      <c r="P773" s="6"/>
      <c r="Q773" s="6"/>
      <c r="R773" s="6"/>
      <c r="S773" s="6"/>
      <c r="T773" s="6"/>
      <c r="U773" s="6"/>
      <c r="V773" s="6"/>
      <c r="W773" s="6"/>
      <c r="X773" s="6"/>
      <c r="Y773" s="6"/>
      <c r="Z773" s="6"/>
      <c r="AA773" s="6"/>
      <c r="AB773" s="6"/>
      <c r="AC773" s="6"/>
      <c r="AD773" s="6"/>
    </row>
    <row r="774" spans="2:30" x14ac:dyDescent="0.25">
      <c r="B774" s="15" t="str">
        <f t="shared" si="32"/>
        <v/>
      </c>
      <c r="D774" s="1" t="str">
        <f t="shared" si="33"/>
        <v/>
      </c>
      <c r="E774" s="21"/>
      <c r="F774" s="7"/>
      <c r="G774" s="19"/>
      <c r="I774" s="1"/>
      <c r="N774" s="1"/>
      <c r="O774" s="1"/>
      <c r="P774" s="6"/>
      <c r="Q774" s="6"/>
      <c r="R774" s="6"/>
      <c r="S774" s="6"/>
      <c r="T774" s="6"/>
      <c r="U774" s="6"/>
      <c r="V774" s="6"/>
      <c r="W774" s="6"/>
      <c r="X774" s="6"/>
      <c r="Y774" s="6"/>
      <c r="Z774" s="6"/>
      <c r="AA774" s="6"/>
      <c r="AB774" s="6"/>
      <c r="AC774" s="6"/>
      <c r="AD774" s="6"/>
    </row>
    <row r="775" spans="2:30" x14ac:dyDescent="0.25">
      <c r="B775" s="15" t="str">
        <f t="shared" si="32"/>
        <v/>
      </c>
      <c r="D775" s="1" t="str">
        <f t="shared" si="33"/>
        <v/>
      </c>
      <c r="E775" s="21"/>
      <c r="F775" s="7"/>
      <c r="G775" s="19"/>
      <c r="I775" s="1"/>
      <c r="N775" s="1"/>
      <c r="O775" s="1"/>
      <c r="P775" s="6"/>
      <c r="Q775" s="6"/>
      <c r="R775" s="6"/>
      <c r="S775" s="6"/>
      <c r="T775" s="6"/>
      <c r="U775" s="6"/>
      <c r="V775" s="6"/>
      <c r="W775" s="6"/>
      <c r="X775" s="6"/>
      <c r="Y775" s="6"/>
      <c r="Z775" s="6"/>
      <c r="AA775" s="6"/>
      <c r="AB775" s="6"/>
      <c r="AC775" s="6"/>
      <c r="AD775" s="6"/>
    </row>
    <row r="776" spans="2:30" x14ac:dyDescent="0.25">
      <c r="B776" s="15" t="str">
        <f t="shared" si="32"/>
        <v/>
      </c>
      <c r="D776" s="1" t="str">
        <f t="shared" si="33"/>
        <v/>
      </c>
      <c r="E776" s="21"/>
      <c r="F776" s="7"/>
      <c r="G776" s="19"/>
      <c r="I776" s="1"/>
      <c r="N776" s="1"/>
      <c r="O776" s="1"/>
      <c r="P776" s="6"/>
      <c r="Q776" s="6"/>
      <c r="R776" s="6"/>
      <c r="S776" s="6"/>
      <c r="T776" s="6"/>
      <c r="U776" s="6"/>
      <c r="V776" s="6"/>
      <c r="W776" s="6"/>
      <c r="X776" s="6"/>
      <c r="Y776" s="6"/>
      <c r="Z776" s="6"/>
      <c r="AA776" s="6"/>
      <c r="AB776" s="6"/>
      <c r="AC776" s="6"/>
      <c r="AD776" s="6"/>
    </row>
    <row r="777" spans="2:30" x14ac:dyDescent="0.25">
      <c r="B777" s="15" t="str">
        <f t="shared" si="32"/>
        <v/>
      </c>
      <c r="D777" s="1" t="str">
        <f t="shared" si="33"/>
        <v/>
      </c>
      <c r="E777" s="21"/>
      <c r="F777" s="7"/>
      <c r="G777" s="19"/>
      <c r="I777" s="1"/>
      <c r="N777" s="1"/>
      <c r="O777" s="1"/>
      <c r="P777" s="6"/>
      <c r="Q777" s="6"/>
      <c r="R777" s="6"/>
      <c r="S777" s="6"/>
      <c r="T777" s="6"/>
      <c r="U777" s="6"/>
      <c r="V777" s="6"/>
      <c r="W777" s="6"/>
      <c r="X777" s="6"/>
      <c r="Y777" s="6"/>
      <c r="Z777" s="6"/>
      <c r="AA777" s="6"/>
      <c r="AB777" s="6"/>
      <c r="AC777" s="6"/>
      <c r="AD777" s="6"/>
    </row>
    <row r="778" spans="2:30" x14ac:dyDescent="0.25">
      <c r="B778" s="15" t="str">
        <f t="shared" si="32"/>
        <v/>
      </c>
      <c r="D778" s="1" t="str">
        <f t="shared" si="33"/>
        <v/>
      </c>
      <c r="E778" s="21"/>
      <c r="F778" s="7"/>
      <c r="G778" s="19"/>
      <c r="I778" s="1"/>
      <c r="N778" s="1"/>
      <c r="O778" s="1"/>
      <c r="P778" s="6"/>
      <c r="Q778" s="6"/>
      <c r="R778" s="6"/>
      <c r="S778" s="6"/>
      <c r="T778" s="6"/>
      <c r="U778" s="6"/>
      <c r="V778" s="6"/>
      <c r="W778" s="6"/>
      <c r="X778" s="6"/>
      <c r="Y778" s="6"/>
      <c r="Z778" s="6"/>
      <c r="AA778" s="6"/>
      <c r="AB778" s="6"/>
      <c r="AC778" s="6"/>
      <c r="AD778" s="6"/>
    </row>
    <row r="779" spans="2:30" x14ac:dyDescent="0.25">
      <c r="B779" s="15" t="str">
        <f t="shared" si="32"/>
        <v/>
      </c>
      <c r="D779" s="1" t="str">
        <f t="shared" si="33"/>
        <v/>
      </c>
      <c r="E779" s="21"/>
      <c r="F779" s="7"/>
      <c r="G779" s="19"/>
      <c r="I779" s="1"/>
      <c r="N779" s="1"/>
      <c r="O779" s="1"/>
      <c r="P779" s="6"/>
      <c r="Q779" s="6"/>
      <c r="R779" s="6"/>
      <c r="S779" s="6"/>
      <c r="T779" s="6"/>
      <c r="U779" s="6"/>
      <c r="V779" s="6"/>
      <c r="W779" s="6"/>
      <c r="X779" s="6"/>
      <c r="Y779" s="6"/>
      <c r="Z779" s="6"/>
      <c r="AA779" s="6"/>
      <c r="AB779" s="6"/>
      <c r="AC779" s="6"/>
      <c r="AD779" s="6"/>
    </row>
    <row r="780" spans="2:30" x14ac:dyDescent="0.25">
      <c r="B780" s="15" t="str">
        <f t="shared" si="32"/>
        <v/>
      </c>
      <c r="D780" s="1" t="str">
        <f t="shared" si="33"/>
        <v/>
      </c>
      <c r="E780" s="21"/>
      <c r="F780" s="7"/>
      <c r="G780" s="19"/>
      <c r="I780" s="1"/>
      <c r="N780" s="1"/>
      <c r="O780" s="1"/>
      <c r="P780" s="6"/>
      <c r="Q780" s="6"/>
      <c r="R780" s="6"/>
      <c r="S780" s="6"/>
      <c r="T780" s="6"/>
      <c r="U780" s="6"/>
      <c r="V780" s="6"/>
      <c r="W780" s="6"/>
      <c r="X780" s="6"/>
      <c r="Y780" s="6"/>
      <c r="Z780" s="6"/>
      <c r="AA780" s="6"/>
      <c r="AB780" s="6"/>
      <c r="AC780" s="6"/>
      <c r="AD780" s="6"/>
    </row>
    <row r="781" spans="2:30" x14ac:dyDescent="0.25">
      <c r="B781" s="15" t="str">
        <f t="shared" ref="B781:B844" si="34">IF($B$2=0,"",TEXT($B$2,""))</f>
        <v/>
      </c>
      <c r="D781" s="1" t="str">
        <f t="shared" si="33"/>
        <v/>
      </c>
      <c r="E781" s="21"/>
      <c r="F781" s="7"/>
      <c r="G781" s="19"/>
      <c r="I781" s="1"/>
      <c r="N781" s="1"/>
      <c r="O781" s="1"/>
      <c r="P781" s="6"/>
      <c r="Q781" s="6"/>
      <c r="R781" s="6"/>
      <c r="S781" s="6"/>
      <c r="T781" s="6"/>
      <c r="U781" s="6"/>
      <c r="V781" s="6"/>
      <c r="W781" s="6"/>
      <c r="X781" s="6"/>
      <c r="Y781" s="6"/>
      <c r="Z781" s="6"/>
      <c r="AA781" s="6"/>
      <c r="AB781" s="6"/>
      <c r="AC781" s="6"/>
      <c r="AD781" s="6"/>
    </row>
    <row r="782" spans="2:30" x14ac:dyDescent="0.25">
      <c r="B782" s="15" t="str">
        <f t="shared" si="34"/>
        <v/>
      </c>
      <c r="D782" s="1" t="str">
        <f t="shared" si="33"/>
        <v/>
      </c>
      <c r="E782" s="21"/>
      <c r="F782" s="7"/>
      <c r="G782" s="19"/>
      <c r="I782" s="1"/>
      <c r="N782" s="1"/>
      <c r="O782" s="1"/>
      <c r="P782" s="6"/>
      <c r="Q782" s="6"/>
      <c r="R782" s="6"/>
      <c r="S782" s="6"/>
      <c r="T782" s="6"/>
      <c r="U782" s="6"/>
      <c r="V782" s="6"/>
      <c r="W782" s="6"/>
      <c r="X782" s="6"/>
      <c r="Y782" s="6"/>
      <c r="Z782" s="6"/>
      <c r="AA782" s="6"/>
      <c r="AB782" s="6"/>
      <c r="AC782" s="6"/>
      <c r="AD782" s="6"/>
    </row>
    <row r="783" spans="2:30" x14ac:dyDescent="0.25">
      <c r="B783" s="15" t="str">
        <f t="shared" si="34"/>
        <v/>
      </c>
      <c r="D783" s="1" t="str">
        <f t="shared" si="33"/>
        <v/>
      </c>
      <c r="E783" s="21"/>
      <c r="F783" s="7"/>
      <c r="G783" s="19"/>
      <c r="I783" s="1"/>
      <c r="N783" s="1"/>
      <c r="O783" s="1"/>
      <c r="P783" s="6"/>
      <c r="Q783" s="6"/>
      <c r="R783" s="6"/>
      <c r="S783" s="6"/>
      <c r="T783" s="6"/>
      <c r="U783" s="6"/>
      <c r="V783" s="6"/>
      <c r="W783" s="6"/>
      <c r="X783" s="6"/>
      <c r="Y783" s="6"/>
      <c r="Z783" s="6"/>
      <c r="AA783" s="6"/>
      <c r="AB783" s="6"/>
      <c r="AC783" s="6"/>
      <c r="AD783" s="6"/>
    </row>
    <row r="784" spans="2:30" x14ac:dyDescent="0.25">
      <c r="B784" s="15" t="str">
        <f t="shared" si="34"/>
        <v/>
      </c>
      <c r="D784" s="1" t="str">
        <f t="shared" si="33"/>
        <v/>
      </c>
      <c r="E784" s="21"/>
      <c r="F784" s="7"/>
      <c r="G784" s="19"/>
      <c r="I784" s="1"/>
      <c r="N784" s="1"/>
      <c r="O784" s="1"/>
      <c r="P784" s="6"/>
      <c r="Q784" s="6"/>
      <c r="R784" s="6"/>
      <c r="S784" s="6"/>
      <c r="T784" s="6"/>
      <c r="U784" s="6"/>
      <c r="V784" s="6"/>
      <c r="W784" s="6"/>
      <c r="X784" s="6"/>
      <c r="Y784" s="6"/>
      <c r="Z784" s="6"/>
      <c r="AA784" s="6"/>
      <c r="AB784" s="6"/>
      <c r="AC784" s="6"/>
      <c r="AD784" s="6"/>
    </row>
    <row r="785" spans="2:30" x14ac:dyDescent="0.25">
      <c r="B785" s="15" t="str">
        <f t="shared" si="34"/>
        <v/>
      </c>
      <c r="D785" s="1" t="str">
        <f t="shared" si="33"/>
        <v/>
      </c>
      <c r="E785" s="21"/>
      <c r="F785" s="7"/>
      <c r="G785" s="19"/>
      <c r="I785" s="1"/>
      <c r="N785" s="1"/>
      <c r="O785" s="1"/>
      <c r="P785" s="6"/>
      <c r="Q785" s="6"/>
      <c r="R785" s="6"/>
      <c r="S785" s="6"/>
      <c r="T785" s="6"/>
      <c r="U785" s="6"/>
      <c r="V785" s="6"/>
      <c r="W785" s="6"/>
      <c r="X785" s="6"/>
      <c r="Y785" s="6"/>
      <c r="Z785" s="6"/>
      <c r="AA785" s="6"/>
      <c r="AB785" s="6"/>
      <c r="AC785" s="6"/>
      <c r="AD785" s="6"/>
    </row>
    <row r="786" spans="2:30" x14ac:dyDescent="0.25">
      <c r="B786" s="15" t="str">
        <f t="shared" si="34"/>
        <v/>
      </c>
      <c r="D786" s="1" t="str">
        <f t="shared" si="33"/>
        <v/>
      </c>
      <c r="E786" s="21"/>
      <c r="F786" s="7"/>
      <c r="G786" s="19"/>
      <c r="I786" s="1"/>
      <c r="N786" s="1"/>
      <c r="O786" s="1"/>
      <c r="P786" s="6"/>
      <c r="Q786" s="6"/>
      <c r="R786" s="6"/>
      <c r="S786" s="6"/>
      <c r="T786" s="6"/>
      <c r="U786" s="6"/>
      <c r="V786" s="6"/>
      <c r="W786" s="6"/>
      <c r="X786" s="6"/>
      <c r="Y786" s="6"/>
      <c r="Z786" s="6"/>
      <c r="AA786" s="6"/>
      <c r="AB786" s="6"/>
      <c r="AC786" s="6"/>
      <c r="AD786" s="6"/>
    </row>
    <row r="787" spans="2:30" x14ac:dyDescent="0.25">
      <c r="B787" s="15" t="str">
        <f t="shared" si="34"/>
        <v/>
      </c>
      <c r="D787" s="1" t="str">
        <f t="shared" si="33"/>
        <v/>
      </c>
      <c r="E787" s="21"/>
      <c r="F787" s="7"/>
      <c r="G787" s="19"/>
      <c r="I787" s="1"/>
      <c r="N787" s="1"/>
      <c r="O787" s="1"/>
      <c r="P787" s="6"/>
      <c r="Q787" s="6"/>
      <c r="R787" s="6"/>
      <c r="S787" s="6"/>
      <c r="T787" s="6"/>
      <c r="U787" s="6"/>
      <c r="V787" s="6"/>
      <c r="W787" s="6"/>
      <c r="X787" s="6"/>
      <c r="Y787" s="6"/>
      <c r="Z787" s="6"/>
      <c r="AA787" s="6"/>
      <c r="AB787" s="6"/>
      <c r="AC787" s="6"/>
      <c r="AD787" s="6"/>
    </row>
    <row r="788" spans="2:30" x14ac:dyDescent="0.25">
      <c r="B788" s="15" t="str">
        <f t="shared" si="34"/>
        <v/>
      </c>
      <c r="D788" s="1" t="str">
        <f t="shared" si="33"/>
        <v/>
      </c>
      <c r="E788" s="21"/>
      <c r="F788" s="7"/>
      <c r="G788" s="19"/>
      <c r="I788" s="1"/>
      <c r="N788" s="1"/>
      <c r="O788" s="1"/>
      <c r="P788" s="6"/>
      <c r="Q788" s="6"/>
      <c r="R788" s="6"/>
      <c r="S788" s="6"/>
      <c r="T788" s="6"/>
      <c r="U788" s="6"/>
      <c r="V788" s="6"/>
      <c r="W788" s="6"/>
      <c r="X788" s="6"/>
      <c r="Y788" s="6"/>
      <c r="Z788" s="6"/>
      <c r="AA788" s="6"/>
      <c r="AB788" s="6"/>
      <c r="AC788" s="6"/>
      <c r="AD788" s="6"/>
    </row>
    <row r="789" spans="2:30" x14ac:dyDescent="0.25">
      <c r="B789" s="15" t="str">
        <f t="shared" si="34"/>
        <v/>
      </c>
      <c r="D789" s="1" t="str">
        <f t="shared" si="33"/>
        <v/>
      </c>
      <c r="E789" s="21"/>
      <c r="F789" s="7"/>
      <c r="G789" s="19"/>
      <c r="I789" s="1"/>
      <c r="N789" s="1"/>
      <c r="O789" s="1"/>
      <c r="P789" s="6"/>
      <c r="Q789" s="6"/>
      <c r="R789" s="6"/>
      <c r="S789" s="6"/>
      <c r="T789" s="6"/>
      <c r="U789" s="6"/>
      <c r="V789" s="6"/>
      <c r="W789" s="6"/>
      <c r="X789" s="6"/>
      <c r="Y789" s="6"/>
      <c r="Z789" s="6"/>
      <c r="AA789" s="6"/>
      <c r="AB789" s="6"/>
      <c r="AC789" s="6"/>
      <c r="AD789" s="6"/>
    </row>
    <row r="790" spans="2:30" x14ac:dyDescent="0.25">
      <c r="B790" s="15" t="str">
        <f t="shared" si="34"/>
        <v/>
      </c>
      <c r="D790" s="1" t="str">
        <f t="shared" si="33"/>
        <v/>
      </c>
      <c r="E790" s="21"/>
      <c r="F790" s="7"/>
      <c r="G790" s="19"/>
      <c r="I790" s="1"/>
      <c r="N790" s="1"/>
      <c r="O790" s="1"/>
      <c r="P790" s="6"/>
      <c r="Q790" s="6"/>
      <c r="R790" s="6"/>
      <c r="S790" s="6"/>
      <c r="T790" s="6"/>
      <c r="U790" s="6"/>
      <c r="V790" s="6"/>
      <c r="W790" s="6"/>
      <c r="X790" s="6"/>
      <c r="Y790" s="6"/>
      <c r="Z790" s="6"/>
      <c r="AA790" s="6"/>
      <c r="AB790" s="6"/>
      <c r="AC790" s="6"/>
      <c r="AD790" s="6"/>
    </row>
    <row r="791" spans="2:30" x14ac:dyDescent="0.25">
      <c r="B791" s="15" t="str">
        <f t="shared" si="34"/>
        <v/>
      </c>
      <c r="D791" s="1" t="str">
        <f t="shared" si="33"/>
        <v/>
      </c>
      <c r="E791" s="21"/>
      <c r="F791" s="7"/>
      <c r="G791" s="19"/>
      <c r="I791" s="1"/>
      <c r="N791" s="1"/>
      <c r="O791" s="1"/>
      <c r="P791" s="6"/>
      <c r="Q791" s="6"/>
      <c r="R791" s="6"/>
      <c r="S791" s="6"/>
      <c r="T791" s="6"/>
      <c r="U791" s="6"/>
      <c r="V791" s="6"/>
      <c r="W791" s="6"/>
      <c r="X791" s="6"/>
      <c r="Y791" s="6"/>
      <c r="Z791" s="6"/>
      <c r="AA791" s="6"/>
      <c r="AB791" s="6"/>
      <c r="AC791" s="6"/>
      <c r="AD791" s="6"/>
    </row>
    <row r="792" spans="2:30" x14ac:dyDescent="0.25">
      <c r="B792" s="15" t="str">
        <f t="shared" si="34"/>
        <v/>
      </c>
      <c r="D792" s="1" t="str">
        <f t="shared" si="33"/>
        <v/>
      </c>
      <c r="E792" s="21"/>
      <c r="F792" s="7"/>
      <c r="G792" s="19"/>
      <c r="I792" s="1"/>
      <c r="N792" s="1"/>
      <c r="O792" s="1"/>
      <c r="P792" s="6"/>
      <c r="Q792" s="6"/>
      <c r="R792" s="6"/>
      <c r="S792" s="6"/>
      <c r="T792" s="6"/>
      <c r="U792" s="6"/>
      <c r="V792" s="6"/>
      <c r="W792" s="6"/>
      <c r="X792" s="6"/>
      <c r="Y792" s="6"/>
      <c r="Z792" s="6"/>
      <c r="AA792" s="6"/>
      <c r="AB792" s="6"/>
      <c r="AC792" s="6"/>
      <c r="AD792" s="6"/>
    </row>
    <row r="793" spans="2:30" x14ac:dyDescent="0.25">
      <c r="B793" s="15" t="str">
        <f t="shared" si="34"/>
        <v/>
      </c>
      <c r="D793" s="1" t="str">
        <f t="shared" si="33"/>
        <v/>
      </c>
      <c r="E793" s="21"/>
      <c r="F793" s="7"/>
      <c r="G793" s="19"/>
      <c r="I793" s="1"/>
      <c r="N793" s="1"/>
      <c r="O793" s="1"/>
      <c r="P793" s="6"/>
      <c r="Q793" s="6"/>
      <c r="R793" s="6"/>
      <c r="S793" s="6"/>
      <c r="T793" s="6"/>
      <c r="U793" s="6"/>
      <c r="V793" s="6"/>
      <c r="W793" s="6"/>
      <c r="X793" s="6"/>
      <c r="Y793" s="6"/>
      <c r="Z793" s="6"/>
      <c r="AA793" s="6"/>
      <c r="AB793" s="6"/>
      <c r="AC793" s="6"/>
      <c r="AD793" s="6"/>
    </row>
    <row r="794" spans="2:30" x14ac:dyDescent="0.25">
      <c r="B794" s="15" t="str">
        <f t="shared" si="34"/>
        <v/>
      </c>
      <c r="D794" s="1" t="str">
        <f t="shared" si="33"/>
        <v/>
      </c>
      <c r="E794" s="21"/>
      <c r="F794" s="7"/>
      <c r="G794" s="19"/>
      <c r="I794" s="1"/>
      <c r="N794" s="1"/>
      <c r="O794" s="1"/>
      <c r="P794" s="6"/>
      <c r="Q794" s="6"/>
      <c r="R794" s="6"/>
      <c r="S794" s="6"/>
      <c r="T794" s="6"/>
      <c r="U794" s="6"/>
      <c r="V794" s="6"/>
      <c r="W794" s="6"/>
      <c r="X794" s="6"/>
      <c r="Y794" s="6"/>
      <c r="Z794" s="6"/>
      <c r="AA794" s="6"/>
      <c r="AB794" s="6"/>
      <c r="AC794" s="6"/>
      <c r="AD794" s="6"/>
    </row>
    <row r="795" spans="2:30" x14ac:dyDescent="0.25">
      <c r="B795" s="15" t="str">
        <f t="shared" si="34"/>
        <v/>
      </c>
      <c r="D795" s="1" t="str">
        <f t="shared" si="33"/>
        <v/>
      </c>
      <c r="E795" s="21"/>
      <c r="F795" s="7"/>
      <c r="G795" s="19"/>
      <c r="I795" s="1"/>
      <c r="N795" s="1"/>
      <c r="O795" s="1"/>
      <c r="P795" s="6"/>
      <c r="Q795" s="6"/>
      <c r="R795" s="6"/>
      <c r="S795" s="6"/>
      <c r="T795" s="6"/>
      <c r="U795" s="6"/>
      <c r="V795" s="6"/>
      <c r="W795" s="6"/>
      <c r="X795" s="6"/>
      <c r="Y795" s="6"/>
      <c r="Z795" s="6"/>
      <c r="AA795" s="6"/>
      <c r="AB795" s="6"/>
      <c r="AC795" s="6"/>
      <c r="AD795" s="6"/>
    </row>
    <row r="796" spans="2:30" x14ac:dyDescent="0.25">
      <c r="B796" s="15" t="str">
        <f t="shared" si="34"/>
        <v/>
      </c>
      <c r="D796" s="1" t="str">
        <f t="shared" si="33"/>
        <v/>
      </c>
      <c r="E796" s="21"/>
      <c r="F796" s="7"/>
      <c r="G796" s="19"/>
      <c r="I796" s="1"/>
      <c r="N796" s="1"/>
      <c r="O796" s="1"/>
      <c r="P796" s="6"/>
      <c r="Q796" s="6"/>
      <c r="R796" s="6"/>
      <c r="S796" s="6"/>
      <c r="T796" s="6"/>
      <c r="U796" s="6"/>
      <c r="V796" s="6"/>
      <c r="W796" s="6"/>
      <c r="X796" s="6"/>
      <c r="Y796" s="6"/>
      <c r="Z796" s="6"/>
      <c r="AA796" s="6"/>
      <c r="AB796" s="6"/>
      <c r="AC796" s="6"/>
      <c r="AD796" s="6"/>
    </row>
    <row r="797" spans="2:30" x14ac:dyDescent="0.25">
      <c r="B797" s="15" t="str">
        <f t="shared" si="34"/>
        <v/>
      </c>
      <c r="D797" s="1" t="str">
        <f t="shared" si="33"/>
        <v/>
      </c>
      <c r="E797" s="21"/>
      <c r="F797" s="7"/>
      <c r="G797" s="19"/>
      <c r="I797" s="1"/>
      <c r="N797" s="1"/>
      <c r="O797" s="1"/>
      <c r="P797" s="6"/>
      <c r="Q797" s="6"/>
      <c r="R797" s="6"/>
      <c r="S797" s="6"/>
      <c r="T797" s="6"/>
      <c r="U797" s="6"/>
      <c r="V797" s="6"/>
      <c r="W797" s="6"/>
      <c r="X797" s="6"/>
      <c r="Y797" s="6"/>
      <c r="Z797" s="6"/>
      <c r="AA797" s="6"/>
      <c r="AB797" s="6"/>
      <c r="AC797" s="6"/>
      <c r="AD797" s="6"/>
    </row>
    <row r="798" spans="2:30" x14ac:dyDescent="0.25">
      <c r="B798" s="15" t="str">
        <f t="shared" si="34"/>
        <v/>
      </c>
      <c r="D798" s="1" t="str">
        <f t="shared" si="33"/>
        <v/>
      </c>
      <c r="E798" s="21"/>
      <c r="F798" s="7"/>
      <c r="G798" s="19"/>
      <c r="I798" s="1"/>
      <c r="N798" s="1"/>
      <c r="O798" s="1"/>
      <c r="P798" s="6"/>
      <c r="Q798" s="6"/>
      <c r="R798" s="6"/>
      <c r="S798" s="6"/>
      <c r="T798" s="6"/>
      <c r="U798" s="6"/>
      <c r="V798" s="6"/>
      <c r="W798" s="6"/>
      <c r="X798" s="6"/>
      <c r="Y798" s="6"/>
      <c r="Z798" s="6"/>
      <c r="AA798" s="6"/>
      <c r="AB798" s="6"/>
      <c r="AC798" s="6"/>
      <c r="AD798" s="6"/>
    </row>
    <row r="799" spans="2:30" x14ac:dyDescent="0.25">
      <c r="B799" s="15" t="str">
        <f t="shared" si="34"/>
        <v/>
      </c>
      <c r="D799" s="1" t="str">
        <f t="shared" si="33"/>
        <v/>
      </c>
      <c r="E799" s="21"/>
      <c r="F799" s="7"/>
      <c r="G799" s="19"/>
      <c r="I799" s="1"/>
      <c r="N799" s="1"/>
      <c r="O799" s="1"/>
      <c r="P799" s="6"/>
      <c r="Q799" s="6"/>
      <c r="R799" s="6"/>
      <c r="S799" s="6"/>
      <c r="T799" s="6"/>
      <c r="U799" s="6"/>
      <c r="V799" s="6"/>
      <c r="W799" s="6"/>
      <c r="X799" s="6"/>
      <c r="Y799" s="6"/>
      <c r="Z799" s="6"/>
      <c r="AA799" s="6"/>
      <c r="AB799" s="6"/>
      <c r="AC799" s="6"/>
      <c r="AD799" s="6"/>
    </row>
    <row r="800" spans="2:30" x14ac:dyDescent="0.25">
      <c r="B800" s="15" t="str">
        <f t="shared" si="34"/>
        <v/>
      </c>
      <c r="D800" s="1" t="str">
        <f t="shared" si="33"/>
        <v/>
      </c>
      <c r="E800" s="21"/>
      <c r="F800" s="7"/>
      <c r="G800" s="19"/>
      <c r="I800" s="1"/>
      <c r="N800" s="1"/>
      <c r="O800" s="1"/>
      <c r="P800" s="6"/>
      <c r="Q800" s="6"/>
      <c r="R800" s="6"/>
      <c r="S800" s="6"/>
      <c r="T800" s="6"/>
      <c r="U800" s="6"/>
      <c r="V800" s="6"/>
      <c r="W800" s="6"/>
      <c r="X800" s="6"/>
      <c r="Y800" s="6"/>
      <c r="Z800" s="6"/>
      <c r="AA800" s="6"/>
      <c r="AB800" s="6"/>
      <c r="AC800" s="6"/>
      <c r="AD800" s="6"/>
    </row>
    <row r="801" spans="2:30" x14ac:dyDescent="0.25">
      <c r="B801" s="15" t="str">
        <f t="shared" si="34"/>
        <v/>
      </c>
      <c r="D801" s="1" t="str">
        <f t="shared" si="33"/>
        <v/>
      </c>
      <c r="E801" s="21"/>
      <c r="F801" s="7"/>
      <c r="G801" s="19"/>
      <c r="I801" s="1"/>
      <c r="N801" s="1"/>
      <c r="O801" s="1"/>
      <c r="P801" s="6"/>
      <c r="Q801" s="6"/>
      <c r="R801" s="6"/>
      <c r="S801" s="6"/>
      <c r="T801" s="6"/>
      <c r="U801" s="6"/>
      <c r="V801" s="6"/>
      <c r="W801" s="6"/>
      <c r="X801" s="6"/>
      <c r="Y801" s="6"/>
      <c r="Z801" s="6"/>
      <c r="AA801" s="6"/>
      <c r="AB801" s="6"/>
      <c r="AC801" s="6"/>
      <c r="AD801" s="6"/>
    </row>
    <row r="802" spans="2:30" x14ac:dyDescent="0.25">
      <c r="B802" s="15" t="str">
        <f t="shared" si="34"/>
        <v/>
      </c>
      <c r="D802" s="1" t="str">
        <f t="shared" si="33"/>
        <v/>
      </c>
      <c r="E802" s="21"/>
      <c r="F802" s="7"/>
      <c r="G802" s="19"/>
      <c r="I802" s="1"/>
      <c r="N802" s="1"/>
      <c r="O802" s="1"/>
      <c r="P802" s="6"/>
      <c r="Q802" s="6"/>
      <c r="R802" s="6"/>
      <c r="S802" s="6"/>
      <c r="T802" s="6"/>
      <c r="U802" s="6"/>
      <c r="V802" s="6"/>
      <c r="W802" s="6"/>
      <c r="X802" s="6"/>
      <c r="Y802" s="6"/>
      <c r="Z802" s="6"/>
      <c r="AA802" s="6"/>
      <c r="AB802" s="6"/>
      <c r="AC802" s="6"/>
      <c r="AD802" s="6"/>
    </row>
    <row r="803" spans="2:30" x14ac:dyDescent="0.25">
      <c r="B803" s="15" t="str">
        <f t="shared" si="34"/>
        <v/>
      </c>
      <c r="D803" s="1" t="str">
        <f t="shared" si="33"/>
        <v/>
      </c>
      <c r="E803" s="21"/>
      <c r="F803" s="7"/>
      <c r="G803" s="19"/>
      <c r="I803" s="1"/>
      <c r="N803" s="1"/>
      <c r="O803" s="1"/>
      <c r="P803" s="6"/>
      <c r="Q803" s="6"/>
      <c r="R803" s="6"/>
      <c r="S803" s="6"/>
      <c r="T803" s="6"/>
      <c r="U803" s="6"/>
      <c r="V803" s="6"/>
      <c r="W803" s="6"/>
      <c r="X803" s="6"/>
      <c r="Y803" s="6"/>
      <c r="Z803" s="6"/>
      <c r="AA803" s="6"/>
      <c r="AB803" s="6"/>
      <c r="AC803" s="6"/>
      <c r="AD803" s="6"/>
    </row>
    <row r="804" spans="2:30" x14ac:dyDescent="0.25">
      <c r="B804" s="15" t="str">
        <f t="shared" si="34"/>
        <v/>
      </c>
      <c r="D804" s="1" t="str">
        <f t="shared" si="33"/>
        <v/>
      </c>
      <c r="E804" s="21"/>
      <c r="F804" s="7"/>
      <c r="G804" s="19"/>
      <c r="I804" s="1"/>
      <c r="N804" s="1"/>
      <c r="O804" s="1"/>
      <c r="P804" s="6"/>
      <c r="Q804" s="6"/>
      <c r="R804" s="6"/>
      <c r="S804" s="6"/>
      <c r="T804" s="6"/>
      <c r="U804" s="6"/>
      <c r="V804" s="6"/>
      <c r="W804" s="6"/>
      <c r="X804" s="6"/>
      <c r="Y804" s="6"/>
      <c r="Z804" s="6"/>
      <c r="AA804" s="6"/>
      <c r="AB804" s="6"/>
      <c r="AC804" s="6"/>
      <c r="AD804" s="6"/>
    </row>
    <row r="805" spans="2:30" x14ac:dyDescent="0.25">
      <c r="B805" s="15" t="str">
        <f t="shared" si="34"/>
        <v/>
      </c>
      <c r="D805" s="1" t="str">
        <f t="shared" si="33"/>
        <v/>
      </c>
      <c r="E805" s="21"/>
      <c r="F805" s="7"/>
      <c r="G805" s="19"/>
      <c r="I805" s="1"/>
      <c r="N805" s="1"/>
      <c r="O805" s="1"/>
      <c r="P805" s="6"/>
      <c r="Q805" s="6"/>
      <c r="R805" s="6"/>
      <c r="S805" s="6"/>
      <c r="T805" s="6"/>
      <c r="U805" s="6"/>
      <c r="V805" s="6"/>
      <c r="W805" s="6"/>
      <c r="X805" s="6"/>
      <c r="Y805" s="6"/>
      <c r="Z805" s="6"/>
      <c r="AA805" s="6"/>
      <c r="AB805" s="6"/>
      <c r="AC805" s="6"/>
      <c r="AD805" s="6"/>
    </row>
    <row r="806" spans="2:30" x14ac:dyDescent="0.25">
      <c r="B806" s="15" t="str">
        <f t="shared" si="34"/>
        <v/>
      </c>
      <c r="D806" s="1" t="str">
        <f t="shared" si="33"/>
        <v/>
      </c>
      <c r="E806" s="21"/>
      <c r="F806" s="7"/>
      <c r="G806" s="19"/>
      <c r="I806" s="1"/>
      <c r="N806" s="1"/>
      <c r="O806" s="1"/>
      <c r="P806" s="6"/>
      <c r="Q806" s="6"/>
      <c r="R806" s="6"/>
      <c r="S806" s="6"/>
      <c r="T806" s="6"/>
      <c r="U806" s="6"/>
      <c r="V806" s="6"/>
      <c r="W806" s="6"/>
      <c r="X806" s="6"/>
      <c r="Y806" s="6"/>
      <c r="Z806" s="6"/>
      <c r="AA806" s="6"/>
      <c r="AB806" s="6"/>
      <c r="AC806" s="6"/>
      <c r="AD806" s="6"/>
    </row>
    <row r="807" spans="2:30" x14ac:dyDescent="0.25">
      <c r="B807" s="15" t="str">
        <f t="shared" si="34"/>
        <v/>
      </c>
      <c r="D807" s="1" t="str">
        <f t="shared" si="33"/>
        <v/>
      </c>
      <c r="E807" s="21"/>
      <c r="F807" s="7"/>
      <c r="G807" s="19"/>
      <c r="I807" s="1"/>
      <c r="N807" s="1"/>
      <c r="O807" s="1"/>
      <c r="P807" s="6"/>
      <c r="Q807" s="6"/>
      <c r="R807" s="6"/>
      <c r="S807" s="6"/>
      <c r="T807" s="6"/>
      <c r="U807" s="6"/>
      <c r="V807" s="6"/>
      <c r="W807" s="6"/>
      <c r="X807" s="6"/>
      <c r="Y807" s="6"/>
      <c r="Z807" s="6"/>
      <c r="AA807" s="6"/>
      <c r="AB807" s="6"/>
      <c r="AC807" s="6"/>
      <c r="AD807" s="6"/>
    </row>
    <row r="808" spans="2:30" x14ac:dyDescent="0.25">
      <c r="B808" s="15" t="str">
        <f t="shared" si="34"/>
        <v/>
      </c>
      <c r="D808" s="1" t="str">
        <f t="shared" si="33"/>
        <v/>
      </c>
      <c r="E808" s="21"/>
      <c r="F808" s="7"/>
      <c r="G808" s="19"/>
      <c r="I808" s="1"/>
      <c r="N808" s="1"/>
      <c r="O808" s="1"/>
      <c r="P808" s="6"/>
      <c r="Q808" s="6"/>
      <c r="R808" s="6"/>
      <c r="S808" s="6"/>
      <c r="T808" s="6"/>
      <c r="U808" s="6"/>
      <c r="V808" s="6"/>
      <c r="W808" s="6"/>
      <c r="X808" s="6"/>
      <c r="Y808" s="6"/>
      <c r="Z808" s="6"/>
      <c r="AA808" s="6"/>
      <c r="AB808" s="6"/>
      <c r="AC808" s="6"/>
      <c r="AD808" s="6"/>
    </row>
    <row r="809" spans="2:30" x14ac:dyDescent="0.25">
      <c r="B809" s="15" t="str">
        <f t="shared" si="34"/>
        <v/>
      </c>
      <c r="D809" s="1" t="str">
        <f t="shared" si="33"/>
        <v/>
      </c>
      <c r="E809" s="21"/>
      <c r="F809" s="7"/>
      <c r="G809" s="1"/>
      <c r="I809" s="1"/>
      <c r="N809" s="1"/>
      <c r="O809" s="1"/>
      <c r="P809" s="6"/>
      <c r="Q809" s="6"/>
      <c r="R809" s="6"/>
      <c r="S809" s="6"/>
      <c r="T809" s="6"/>
      <c r="U809" s="6"/>
      <c r="V809" s="6"/>
      <c r="W809" s="6"/>
      <c r="X809" s="6"/>
      <c r="Y809" s="6"/>
      <c r="Z809" s="6"/>
      <c r="AA809" s="6"/>
      <c r="AB809" s="6"/>
      <c r="AC809" s="6"/>
      <c r="AD809" s="6"/>
    </row>
    <row r="810" spans="2:30" x14ac:dyDescent="0.25">
      <c r="B810" s="15" t="str">
        <f t="shared" si="34"/>
        <v/>
      </c>
      <c r="D810" s="1" t="str">
        <f t="shared" si="33"/>
        <v/>
      </c>
      <c r="E810" s="21"/>
      <c r="F810" s="7"/>
      <c r="G810" s="1"/>
      <c r="I810" s="1"/>
      <c r="N810" s="1"/>
      <c r="O810" s="1"/>
      <c r="P810" s="6"/>
      <c r="Q810" s="6"/>
      <c r="R810" s="6"/>
      <c r="S810" s="6"/>
      <c r="T810" s="6"/>
      <c r="U810" s="6"/>
      <c r="V810" s="6"/>
      <c r="W810" s="6"/>
      <c r="X810" s="6"/>
      <c r="Y810" s="6"/>
      <c r="Z810" s="6"/>
      <c r="AA810" s="6"/>
      <c r="AB810" s="6"/>
      <c r="AC810" s="6"/>
      <c r="AD810" s="6"/>
    </row>
    <row r="811" spans="2:30" x14ac:dyDescent="0.25">
      <c r="B811" s="15" t="str">
        <f t="shared" si="34"/>
        <v/>
      </c>
      <c r="D811" s="1" t="str">
        <f t="shared" si="33"/>
        <v/>
      </c>
      <c r="E811" s="21"/>
      <c r="F811" s="7"/>
      <c r="G811" s="1"/>
      <c r="I811" s="1"/>
      <c r="N811" s="1"/>
      <c r="O811" s="1"/>
      <c r="P811" s="6"/>
      <c r="Q811" s="6"/>
      <c r="R811" s="6"/>
      <c r="S811" s="6"/>
      <c r="T811" s="6"/>
      <c r="U811" s="6"/>
      <c r="V811" s="6"/>
      <c r="W811" s="6"/>
      <c r="X811" s="6"/>
      <c r="Y811" s="6"/>
      <c r="Z811" s="6"/>
      <c r="AA811" s="6"/>
      <c r="AB811" s="6"/>
      <c r="AC811" s="6"/>
      <c r="AD811" s="6"/>
    </row>
    <row r="812" spans="2:30" x14ac:dyDescent="0.25">
      <c r="B812" s="15" t="str">
        <f t="shared" si="34"/>
        <v/>
      </c>
      <c r="D812" s="1" t="str">
        <f t="shared" si="33"/>
        <v/>
      </c>
      <c r="E812" s="21"/>
      <c r="F812" s="7"/>
      <c r="G812" s="1"/>
      <c r="I812" s="1"/>
      <c r="N812" s="1"/>
      <c r="O812" s="1"/>
      <c r="P812" s="6"/>
      <c r="Q812" s="6"/>
      <c r="R812" s="6"/>
      <c r="S812" s="6"/>
      <c r="T812" s="6"/>
      <c r="U812" s="6"/>
      <c r="V812" s="6"/>
      <c r="W812" s="6"/>
      <c r="X812" s="6"/>
      <c r="Y812" s="6"/>
      <c r="Z812" s="6"/>
      <c r="AA812" s="6"/>
      <c r="AB812" s="6"/>
      <c r="AC812" s="6"/>
      <c r="AD812" s="6"/>
    </row>
    <row r="813" spans="2:30" x14ac:dyDescent="0.25">
      <c r="B813" s="15" t="str">
        <f t="shared" si="34"/>
        <v/>
      </c>
      <c r="D813" s="1" t="str">
        <f t="shared" si="33"/>
        <v/>
      </c>
      <c r="E813" s="21"/>
      <c r="F813" s="7"/>
      <c r="G813" s="1"/>
      <c r="I813" s="1"/>
      <c r="N813" s="1"/>
      <c r="O813" s="1"/>
      <c r="P813" s="6"/>
      <c r="Q813" s="6"/>
      <c r="R813" s="6"/>
      <c r="S813" s="6"/>
      <c r="T813" s="6"/>
      <c r="U813" s="6"/>
      <c r="V813" s="6"/>
      <c r="W813" s="6"/>
      <c r="X813" s="6"/>
      <c r="Y813" s="6"/>
      <c r="Z813" s="6"/>
      <c r="AA813" s="6"/>
      <c r="AB813" s="6"/>
      <c r="AC813" s="6"/>
      <c r="AD813" s="6"/>
    </row>
    <row r="814" spans="2:30" x14ac:dyDescent="0.25">
      <c r="B814" s="15" t="str">
        <f t="shared" si="34"/>
        <v/>
      </c>
      <c r="D814" s="1" t="str">
        <f t="shared" si="33"/>
        <v/>
      </c>
      <c r="E814" s="21"/>
      <c r="F814" s="7"/>
      <c r="G814" s="1"/>
      <c r="I814" s="1"/>
      <c r="N814" s="1"/>
      <c r="O814" s="1"/>
      <c r="P814" s="6"/>
      <c r="Q814" s="6"/>
      <c r="R814" s="6"/>
      <c r="S814" s="6"/>
      <c r="T814" s="6"/>
      <c r="U814" s="6"/>
      <c r="V814" s="6"/>
      <c r="W814" s="6"/>
      <c r="X814" s="6"/>
      <c r="Y814" s="6"/>
      <c r="Z814" s="6"/>
      <c r="AA814" s="6"/>
      <c r="AB814" s="6"/>
      <c r="AC814" s="6"/>
      <c r="AD814" s="6"/>
    </row>
    <row r="815" spans="2:30" x14ac:dyDescent="0.25">
      <c r="B815" s="15" t="str">
        <f t="shared" si="34"/>
        <v/>
      </c>
      <c r="D815" s="1" t="str">
        <f t="shared" si="33"/>
        <v/>
      </c>
      <c r="E815" s="21"/>
      <c r="F815" s="7"/>
      <c r="G815" s="1"/>
      <c r="I815" s="1"/>
      <c r="N815" s="1"/>
      <c r="O815" s="1"/>
      <c r="P815" s="6"/>
      <c r="Q815" s="6"/>
      <c r="R815" s="6"/>
      <c r="S815" s="6"/>
      <c r="T815" s="6"/>
      <c r="U815" s="6"/>
      <c r="V815" s="6"/>
      <c r="W815" s="6"/>
      <c r="X815" s="6"/>
      <c r="Y815" s="6"/>
      <c r="Z815" s="6"/>
      <c r="AA815" s="6"/>
      <c r="AB815" s="6"/>
      <c r="AC815" s="6"/>
      <c r="AD815" s="6"/>
    </row>
    <row r="816" spans="2:30" x14ac:dyDescent="0.25">
      <c r="B816" s="15" t="str">
        <f t="shared" si="34"/>
        <v/>
      </c>
      <c r="D816" s="1" t="str">
        <f t="shared" si="33"/>
        <v/>
      </c>
      <c r="E816" s="21"/>
      <c r="F816" s="7"/>
      <c r="G816" s="1"/>
      <c r="I816" s="1"/>
      <c r="N816" s="1"/>
      <c r="O816" s="1"/>
      <c r="P816" s="6"/>
      <c r="Q816" s="6"/>
      <c r="R816" s="6"/>
      <c r="S816" s="6"/>
      <c r="T816" s="6"/>
      <c r="U816" s="6"/>
      <c r="V816" s="6"/>
      <c r="W816" s="6"/>
      <c r="X816" s="6"/>
      <c r="Y816" s="6"/>
      <c r="Z816" s="6"/>
      <c r="AA816" s="6"/>
      <c r="AB816" s="6"/>
      <c r="AC816" s="6"/>
      <c r="AD816" s="6"/>
    </row>
    <row r="817" spans="2:30" x14ac:dyDescent="0.25">
      <c r="B817" s="15" t="str">
        <f t="shared" si="34"/>
        <v/>
      </c>
      <c r="D817" s="1" t="str">
        <f t="shared" si="33"/>
        <v/>
      </c>
      <c r="E817" s="21"/>
      <c r="F817" s="7"/>
      <c r="G817" s="1"/>
      <c r="I817" s="1"/>
      <c r="N817" s="1"/>
      <c r="O817" s="1"/>
      <c r="P817" s="6"/>
      <c r="Q817" s="6"/>
      <c r="R817" s="6"/>
      <c r="S817" s="6"/>
      <c r="T817" s="6"/>
      <c r="U817" s="6"/>
      <c r="V817" s="6"/>
      <c r="W817" s="6"/>
      <c r="X817" s="6"/>
      <c r="Y817" s="6"/>
      <c r="Z817" s="6"/>
      <c r="AA817" s="6"/>
      <c r="AB817" s="6"/>
      <c r="AC817" s="6"/>
      <c r="AD817" s="6"/>
    </row>
    <row r="818" spans="2:30" x14ac:dyDescent="0.25">
      <c r="B818" s="15" t="str">
        <f t="shared" si="34"/>
        <v/>
      </c>
      <c r="D818" s="1" t="str">
        <f t="shared" si="33"/>
        <v/>
      </c>
      <c r="E818" s="21"/>
      <c r="F818" s="7"/>
      <c r="G818" s="1"/>
      <c r="I818" s="1"/>
      <c r="N818" s="1"/>
      <c r="O818" s="1"/>
      <c r="P818" s="6"/>
      <c r="Q818" s="6"/>
      <c r="R818" s="6"/>
      <c r="S818" s="6"/>
      <c r="T818" s="6"/>
      <c r="U818" s="6"/>
      <c r="V818" s="6"/>
      <c r="W818" s="6"/>
      <c r="X818" s="6"/>
      <c r="Y818" s="6"/>
      <c r="Z818" s="6"/>
      <c r="AA818" s="6"/>
      <c r="AB818" s="6"/>
      <c r="AC818" s="6"/>
      <c r="AD818" s="6"/>
    </row>
    <row r="819" spans="2:30" x14ac:dyDescent="0.25">
      <c r="B819" s="15" t="str">
        <f t="shared" si="34"/>
        <v/>
      </c>
      <c r="D819" s="1" t="str">
        <f t="shared" si="33"/>
        <v/>
      </c>
      <c r="E819" s="21"/>
      <c r="F819" s="7"/>
      <c r="G819" s="1"/>
      <c r="I819" s="1"/>
      <c r="N819" s="1"/>
      <c r="O819" s="1"/>
      <c r="P819" s="6"/>
      <c r="Q819" s="6"/>
      <c r="R819" s="6"/>
      <c r="S819" s="6"/>
      <c r="T819" s="6"/>
      <c r="U819" s="6"/>
      <c r="V819" s="6"/>
      <c r="W819" s="6"/>
      <c r="X819" s="6"/>
      <c r="Y819" s="6"/>
      <c r="Z819" s="6"/>
      <c r="AA819" s="6"/>
      <c r="AB819" s="6"/>
      <c r="AC819" s="6"/>
      <c r="AD819" s="6"/>
    </row>
    <row r="820" spans="2:30" x14ac:dyDescent="0.25">
      <c r="B820" s="15" t="str">
        <f t="shared" si="34"/>
        <v/>
      </c>
      <c r="D820" s="1" t="str">
        <f t="shared" si="33"/>
        <v/>
      </c>
      <c r="E820" s="21"/>
      <c r="F820" s="7"/>
      <c r="G820" s="1"/>
      <c r="I820" s="1"/>
      <c r="N820" s="1"/>
      <c r="O820" s="1"/>
      <c r="P820" s="6"/>
      <c r="Q820" s="6"/>
      <c r="R820" s="6"/>
      <c r="S820" s="6"/>
      <c r="T820" s="6"/>
      <c r="U820" s="6"/>
      <c r="V820" s="6"/>
      <c r="W820" s="6"/>
      <c r="X820" s="6"/>
      <c r="Y820" s="6"/>
      <c r="Z820" s="6"/>
      <c r="AA820" s="6"/>
      <c r="AB820" s="6"/>
      <c r="AC820" s="6"/>
      <c r="AD820" s="6"/>
    </row>
    <row r="821" spans="2:30" x14ac:dyDescent="0.25">
      <c r="B821" s="15" t="str">
        <f t="shared" si="34"/>
        <v/>
      </c>
      <c r="D821" s="1" t="str">
        <f t="shared" si="33"/>
        <v/>
      </c>
      <c r="E821" s="21"/>
      <c r="F821" s="7"/>
      <c r="G821" s="1"/>
      <c r="I821" s="1"/>
      <c r="N821" s="1"/>
      <c r="O821" s="1"/>
      <c r="P821" s="6"/>
      <c r="Q821" s="6"/>
      <c r="R821" s="6"/>
      <c r="S821" s="6"/>
      <c r="T821" s="6"/>
      <c r="U821" s="6"/>
      <c r="V821" s="6"/>
      <c r="W821" s="6"/>
      <c r="X821" s="6"/>
      <c r="Y821" s="6"/>
      <c r="Z821" s="6"/>
      <c r="AA821" s="6"/>
      <c r="AB821" s="6"/>
      <c r="AC821" s="6"/>
      <c r="AD821" s="6"/>
    </row>
    <row r="822" spans="2:30" x14ac:dyDescent="0.25">
      <c r="B822" s="15" t="str">
        <f t="shared" si="34"/>
        <v/>
      </c>
      <c r="D822" s="1" t="str">
        <f t="shared" si="33"/>
        <v/>
      </c>
      <c r="E822" s="21"/>
      <c r="F822" s="7"/>
      <c r="G822" s="1"/>
      <c r="I822" s="1"/>
      <c r="N822" s="1"/>
      <c r="O822" s="1"/>
      <c r="P822" s="6"/>
      <c r="Q822" s="6"/>
      <c r="R822" s="6"/>
      <c r="S822" s="6"/>
      <c r="T822" s="6"/>
      <c r="U822" s="6"/>
      <c r="V822" s="6"/>
      <c r="W822" s="6"/>
      <c r="X822" s="6"/>
      <c r="Y822" s="6"/>
      <c r="Z822" s="6"/>
      <c r="AA822" s="6"/>
      <c r="AB822" s="6"/>
      <c r="AC822" s="6"/>
      <c r="AD822" s="6"/>
    </row>
    <row r="823" spans="2:30" x14ac:dyDescent="0.25">
      <c r="B823" s="15" t="str">
        <f t="shared" si="34"/>
        <v/>
      </c>
      <c r="D823" s="1" t="str">
        <f t="shared" si="33"/>
        <v/>
      </c>
      <c r="E823" s="21"/>
      <c r="F823" s="7"/>
      <c r="G823" s="1"/>
      <c r="I823" s="1"/>
      <c r="N823" s="1"/>
      <c r="O823" s="1"/>
      <c r="P823" s="6"/>
      <c r="Q823" s="6"/>
      <c r="R823" s="6"/>
      <c r="S823" s="6"/>
      <c r="T823" s="6"/>
      <c r="U823" s="6"/>
      <c r="V823" s="6"/>
      <c r="W823" s="6"/>
      <c r="X823" s="6"/>
      <c r="Y823" s="6"/>
      <c r="Z823" s="6"/>
      <c r="AA823" s="6"/>
      <c r="AB823" s="6"/>
      <c r="AC823" s="6"/>
      <c r="AD823" s="6"/>
    </row>
    <row r="824" spans="2:30" x14ac:dyDescent="0.25">
      <c r="B824" s="15" t="str">
        <f t="shared" si="34"/>
        <v/>
      </c>
      <c r="D824" s="1" t="str">
        <f t="shared" si="33"/>
        <v/>
      </c>
      <c r="E824" s="21"/>
      <c r="F824" s="7"/>
      <c r="G824" s="1"/>
      <c r="I824" s="1"/>
      <c r="N824" s="1"/>
      <c r="O824" s="1"/>
      <c r="P824" s="6"/>
      <c r="Q824" s="6"/>
      <c r="R824" s="6"/>
      <c r="S824" s="6"/>
      <c r="T824" s="6"/>
      <c r="U824" s="6"/>
      <c r="V824" s="6"/>
      <c r="W824" s="6"/>
      <c r="X824" s="6"/>
      <c r="Y824" s="6"/>
      <c r="Z824" s="6"/>
      <c r="AA824" s="6"/>
      <c r="AB824" s="6"/>
      <c r="AC824" s="6"/>
      <c r="AD824" s="6"/>
    </row>
    <row r="825" spans="2:30" x14ac:dyDescent="0.25">
      <c r="B825" s="15" t="str">
        <f t="shared" si="34"/>
        <v/>
      </c>
      <c r="D825" s="1" t="str">
        <f t="shared" si="33"/>
        <v/>
      </c>
      <c r="E825" s="21"/>
      <c r="F825" s="7"/>
      <c r="G825" s="1"/>
      <c r="I825" s="1"/>
      <c r="N825" s="1"/>
      <c r="O825" s="1"/>
      <c r="P825" s="6"/>
      <c r="Q825" s="6"/>
      <c r="R825" s="6"/>
      <c r="S825" s="6"/>
      <c r="T825" s="6"/>
      <c r="U825" s="6"/>
      <c r="V825" s="6"/>
      <c r="W825" s="6"/>
      <c r="X825" s="6"/>
      <c r="Y825" s="6"/>
      <c r="Z825" s="6"/>
      <c r="AA825" s="6"/>
      <c r="AB825" s="6"/>
      <c r="AC825" s="6"/>
      <c r="AD825" s="6"/>
    </row>
    <row r="826" spans="2:30" x14ac:dyDescent="0.25">
      <c r="B826" s="15" t="str">
        <f t="shared" si="34"/>
        <v/>
      </c>
      <c r="D826" s="1" t="str">
        <f t="shared" si="33"/>
        <v/>
      </c>
      <c r="E826" s="21"/>
      <c r="F826" s="7"/>
      <c r="G826" s="1"/>
      <c r="I826" s="1"/>
      <c r="N826" s="1"/>
      <c r="O826" s="1"/>
      <c r="P826" s="6"/>
      <c r="Q826" s="6"/>
      <c r="R826" s="6"/>
      <c r="S826" s="6"/>
      <c r="T826" s="6"/>
      <c r="U826" s="6"/>
      <c r="V826" s="6"/>
      <c r="W826" s="6"/>
      <c r="X826" s="6"/>
      <c r="Y826" s="6"/>
      <c r="Z826" s="6"/>
      <c r="AA826" s="6"/>
      <c r="AB826" s="6"/>
      <c r="AC826" s="6"/>
      <c r="AD826" s="6"/>
    </row>
    <row r="827" spans="2:30" x14ac:dyDescent="0.25">
      <c r="B827" s="15" t="str">
        <f t="shared" si="34"/>
        <v/>
      </c>
      <c r="D827" s="1" t="str">
        <f t="shared" si="33"/>
        <v/>
      </c>
      <c r="E827" s="21"/>
      <c r="F827" s="7"/>
      <c r="G827" s="1"/>
      <c r="I827" s="1"/>
      <c r="N827" s="1"/>
      <c r="O827" s="1"/>
      <c r="P827" s="6"/>
      <c r="Q827" s="6"/>
      <c r="R827" s="6"/>
      <c r="S827" s="6"/>
      <c r="T827" s="6"/>
      <c r="U827" s="6"/>
      <c r="V827" s="6"/>
      <c r="W827" s="6"/>
      <c r="X827" s="6"/>
      <c r="Y827" s="6"/>
      <c r="Z827" s="6"/>
      <c r="AA827" s="6"/>
      <c r="AB827" s="6"/>
      <c r="AC827" s="6"/>
      <c r="AD827" s="6"/>
    </row>
    <row r="828" spans="2:30" x14ac:dyDescent="0.25">
      <c r="B828" s="15" t="str">
        <f t="shared" si="34"/>
        <v/>
      </c>
      <c r="D828" s="1" t="str">
        <f t="shared" si="33"/>
        <v/>
      </c>
      <c r="E828" s="21"/>
      <c r="F828" s="7"/>
      <c r="G828" s="1"/>
      <c r="I828" s="1"/>
      <c r="N828" s="1"/>
      <c r="O828" s="1"/>
      <c r="P828" s="6"/>
      <c r="Q828" s="6"/>
      <c r="R828" s="6"/>
      <c r="S828" s="6"/>
      <c r="T828" s="6"/>
      <c r="U828" s="6"/>
      <c r="V828" s="6"/>
      <c r="W828" s="6"/>
      <c r="X828" s="6"/>
      <c r="Y828" s="6"/>
      <c r="Z828" s="6"/>
      <c r="AA828" s="6"/>
      <c r="AB828" s="6"/>
      <c r="AC828" s="6"/>
      <c r="AD828" s="6"/>
    </row>
    <row r="829" spans="2:30" x14ac:dyDescent="0.25">
      <c r="B829" s="15" t="str">
        <f t="shared" si="34"/>
        <v/>
      </c>
      <c r="D829" s="1" t="str">
        <f t="shared" si="33"/>
        <v/>
      </c>
      <c r="E829" s="21"/>
      <c r="F829" s="7"/>
      <c r="G829" s="1"/>
      <c r="I829" s="1"/>
      <c r="N829" s="1"/>
      <c r="O829" s="1"/>
      <c r="P829" s="6"/>
      <c r="Q829" s="6"/>
      <c r="R829" s="6"/>
      <c r="S829" s="6"/>
      <c r="T829" s="6"/>
      <c r="U829" s="6"/>
      <c r="V829" s="6"/>
      <c r="W829" s="6"/>
      <c r="X829" s="6"/>
      <c r="Y829" s="6"/>
      <c r="Z829" s="6"/>
      <c r="AA829" s="6"/>
      <c r="AB829" s="6"/>
      <c r="AC829" s="6"/>
      <c r="AD829" s="6"/>
    </row>
    <row r="830" spans="2:30" x14ac:dyDescent="0.25">
      <c r="B830" s="15" t="str">
        <f t="shared" si="34"/>
        <v/>
      </c>
      <c r="D830" s="1" t="str">
        <f t="shared" si="33"/>
        <v/>
      </c>
      <c r="E830" s="21"/>
      <c r="F830" s="7"/>
      <c r="G830" s="1"/>
      <c r="I830" s="1"/>
      <c r="N830" s="1"/>
      <c r="O830" s="1"/>
      <c r="P830" s="6"/>
      <c r="Q830" s="6"/>
      <c r="R830" s="6"/>
      <c r="S830" s="6"/>
      <c r="T830" s="6"/>
      <c r="U830" s="6"/>
      <c r="V830" s="6"/>
      <c r="W830" s="6"/>
      <c r="X830" s="6"/>
      <c r="Y830" s="6"/>
      <c r="Z830" s="6"/>
      <c r="AA830" s="6"/>
      <c r="AB830" s="6"/>
      <c r="AC830" s="6"/>
      <c r="AD830" s="6"/>
    </row>
    <row r="831" spans="2:30" x14ac:dyDescent="0.25">
      <c r="B831" s="15" t="str">
        <f t="shared" si="34"/>
        <v/>
      </c>
      <c r="D831" s="1" t="str">
        <f t="shared" si="33"/>
        <v/>
      </c>
      <c r="E831" s="21"/>
      <c r="F831" s="7"/>
      <c r="G831" s="1"/>
      <c r="I831" s="1"/>
      <c r="N831" s="1"/>
      <c r="O831" s="1"/>
      <c r="P831" s="6"/>
      <c r="Q831" s="6"/>
      <c r="R831" s="6"/>
      <c r="S831" s="6"/>
      <c r="T831" s="6"/>
      <c r="U831" s="6"/>
      <c r="V831" s="6"/>
      <c r="W831" s="6"/>
      <c r="X831" s="6"/>
      <c r="Y831" s="6"/>
      <c r="Z831" s="6"/>
      <c r="AA831" s="6"/>
      <c r="AB831" s="6"/>
      <c r="AC831" s="6"/>
      <c r="AD831" s="6"/>
    </row>
    <row r="832" spans="2:30" x14ac:dyDescent="0.25">
      <c r="B832" s="15" t="str">
        <f t="shared" si="34"/>
        <v/>
      </c>
      <c r="D832" s="1" t="str">
        <f t="shared" si="33"/>
        <v/>
      </c>
      <c r="E832" s="21"/>
      <c r="F832" s="7"/>
      <c r="G832" s="1"/>
      <c r="I832" s="1"/>
      <c r="N832" s="1"/>
      <c r="O832" s="1"/>
      <c r="P832" s="6"/>
      <c r="Q832" s="6"/>
      <c r="R832" s="6"/>
      <c r="S832" s="6"/>
      <c r="T832" s="6"/>
      <c r="U832" s="6"/>
      <c r="V832" s="6"/>
      <c r="W832" s="6"/>
      <c r="X832" s="6"/>
      <c r="Y832" s="6"/>
      <c r="Z832" s="6"/>
      <c r="AA832" s="6"/>
      <c r="AB832" s="6"/>
      <c r="AC832" s="6"/>
      <c r="AD832" s="6"/>
    </row>
    <row r="833" spans="2:30" x14ac:dyDescent="0.25">
      <c r="B833" s="15" t="str">
        <f t="shared" si="34"/>
        <v/>
      </c>
      <c r="D833" s="1" t="str">
        <f t="shared" si="33"/>
        <v/>
      </c>
      <c r="E833" s="21"/>
      <c r="F833" s="7"/>
      <c r="G833" s="1"/>
      <c r="I833" s="1"/>
      <c r="N833" s="1"/>
      <c r="O833" s="1"/>
      <c r="P833" s="6"/>
      <c r="Q833" s="6"/>
      <c r="R833" s="6"/>
      <c r="S833" s="6"/>
      <c r="T833" s="6"/>
      <c r="U833" s="6"/>
      <c r="V833" s="6"/>
      <c r="W833" s="6"/>
      <c r="X833" s="6"/>
      <c r="Y833" s="6"/>
      <c r="Z833" s="6"/>
      <c r="AA833" s="6"/>
      <c r="AB833" s="6"/>
      <c r="AC833" s="6"/>
      <c r="AD833" s="6"/>
    </row>
    <row r="834" spans="2:30" x14ac:dyDescent="0.25">
      <c r="B834" s="15" t="str">
        <f t="shared" si="34"/>
        <v/>
      </c>
      <c r="D834" s="1" t="str">
        <f t="shared" si="33"/>
        <v/>
      </c>
      <c r="E834" s="21"/>
      <c r="F834" s="7"/>
      <c r="G834" s="1"/>
      <c r="I834" s="1"/>
      <c r="N834" s="1"/>
      <c r="O834" s="1"/>
      <c r="P834" s="6"/>
      <c r="Q834" s="6"/>
      <c r="R834" s="6"/>
      <c r="S834" s="6"/>
      <c r="T834" s="6"/>
      <c r="U834" s="6"/>
      <c r="V834" s="6"/>
      <c r="W834" s="6"/>
      <c r="X834" s="6"/>
      <c r="Y834" s="6"/>
      <c r="Z834" s="6"/>
      <c r="AA834" s="6"/>
      <c r="AB834" s="6"/>
      <c r="AC834" s="6"/>
      <c r="AD834" s="6"/>
    </row>
    <row r="835" spans="2:30" x14ac:dyDescent="0.25">
      <c r="B835" s="15" t="str">
        <f t="shared" si="34"/>
        <v/>
      </c>
      <c r="D835" s="1" t="str">
        <f t="shared" ref="D835:D898" si="35">IF(C835=0,"",TEXT($C835,"dddd"))</f>
        <v/>
      </c>
      <c r="E835" s="21"/>
      <c r="F835" s="7"/>
      <c r="G835" s="1"/>
      <c r="I835" s="1"/>
      <c r="N835" s="1"/>
      <c r="O835" s="1"/>
      <c r="P835" s="6"/>
      <c r="Q835" s="6"/>
      <c r="R835" s="6"/>
      <c r="S835" s="6"/>
      <c r="T835" s="6"/>
      <c r="U835" s="6"/>
      <c r="V835" s="6"/>
      <c r="W835" s="6"/>
      <c r="X835" s="6"/>
      <c r="Y835" s="6"/>
      <c r="Z835" s="6"/>
      <c r="AA835" s="6"/>
      <c r="AB835" s="6"/>
      <c r="AC835" s="6"/>
      <c r="AD835" s="6"/>
    </row>
    <row r="836" spans="2:30" x14ac:dyDescent="0.25">
      <c r="B836" s="15" t="str">
        <f t="shared" si="34"/>
        <v/>
      </c>
      <c r="D836" s="1" t="str">
        <f t="shared" si="35"/>
        <v/>
      </c>
      <c r="E836" s="21"/>
      <c r="F836" s="7"/>
      <c r="G836" s="1"/>
      <c r="I836" s="1"/>
      <c r="N836" s="1"/>
      <c r="O836" s="1"/>
      <c r="P836" s="6"/>
      <c r="Q836" s="6"/>
      <c r="R836" s="6"/>
      <c r="S836" s="6"/>
      <c r="T836" s="6"/>
      <c r="U836" s="6"/>
      <c r="V836" s="6"/>
      <c r="W836" s="6"/>
      <c r="X836" s="6"/>
      <c r="Y836" s="6"/>
      <c r="Z836" s="6"/>
      <c r="AA836" s="6"/>
      <c r="AB836" s="6"/>
      <c r="AC836" s="6"/>
      <c r="AD836" s="6"/>
    </row>
    <row r="837" spans="2:30" x14ac:dyDescent="0.25">
      <c r="B837" s="15" t="str">
        <f t="shared" si="34"/>
        <v/>
      </c>
      <c r="D837" s="1" t="str">
        <f t="shared" si="35"/>
        <v/>
      </c>
      <c r="E837" s="21"/>
      <c r="F837" s="7"/>
      <c r="G837" s="1"/>
      <c r="I837" s="1"/>
      <c r="N837" s="1"/>
      <c r="O837" s="1"/>
      <c r="P837" s="6"/>
      <c r="Q837" s="6"/>
      <c r="R837" s="6"/>
      <c r="S837" s="6"/>
      <c r="T837" s="6"/>
      <c r="U837" s="6"/>
      <c r="V837" s="6"/>
      <c r="W837" s="6"/>
      <c r="X837" s="6"/>
      <c r="Y837" s="6"/>
      <c r="Z837" s="6"/>
      <c r="AA837" s="6"/>
      <c r="AB837" s="6"/>
      <c r="AC837" s="6"/>
      <c r="AD837" s="6"/>
    </row>
    <row r="838" spans="2:30" x14ac:dyDescent="0.25">
      <c r="B838" s="15" t="str">
        <f t="shared" si="34"/>
        <v/>
      </c>
      <c r="D838" s="1" t="str">
        <f t="shared" si="35"/>
        <v/>
      </c>
      <c r="E838" s="21"/>
      <c r="F838" s="7"/>
      <c r="G838" s="1"/>
      <c r="I838" s="1"/>
      <c r="N838" s="1"/>
      <c r="O838" s="1"/>
      <c r="P838" s="6"/>
      <c r="Q838" s="6"/>
      <c r="R838" s="6"/>
      <c r="S838" s="6"/>
      <c r="T838" s="6"/>
      <c r="U838" s="6"/>
      <c r="V838" s="6"/>
      <c r="W838" s="6"/>
      <c r="X838" s="6"/>
      <c r="Y838" s="6"/>
      <c r="Z838" s="6"/>
      <c r="AA838" s="6"/>
      <c r="AB838" s="6"/>
      <c r="AC838" s="6"/>
      <c r="AD838" s="6"/>
    </row>
    <row r="839" spans="2:30" x14ac:dyDescent="0.25">
      <c r="B839" s="15" t="str">
        <f t="shared" si="34"/>
        <v/>
      </c>
      <c r="D839" s="1" t="str">
        <f t="shared" si="35"/>
        <v/>
      </c>
      <c r="E839" s="21"/>
      <c r="F839" s="7"/>
      <c r="G839" s="1"/>
      <c r="I839" s="1"/>
      <c r="N839" s="1"/>
      <c r="O839" s="1"/>
      <c r="P839" s="6"/>
      <c r="Q839" s="6"/>
      <c r="R839" s="6"/>
      <c r="S839" s="6"/>
      <c r="T839" s="6"/>
      <c r="U839" s="6"/>
      <c r="V839" s="6"/>
      <c r="W839" s="6"/>
      <c r="X839" s="6"/>
      <c r="Y839" s="6"/>
      <c r="Z839" s="6"/>
      <c r="AA839" s="6"/>
      <c r="AB839" s="6"/>
      <c r="AC839" s="6"/>
      <c r="AD839" s="6"/>
    </row>
    <row r="840" spans="2:30" x14ac:dyDescent="0.25">
      <c r="B840" s="15" t="str">
        <f t="shared" si="34"/>
        <v/>
      </c>
      <c r="D840" s="1" t="str">
        <f t="shared" si="35"/>
        <v/>
      </c>
      <c r="E840" s="21"/>
      <c r="F840" s="7"/>
      <c r="G840" s="1"/>
      <c r="I840" s="1"/>
      <c r="N840" s="1"/>
      <c r="O840" s="1"/>
      <c r="P840" s="6"/>
      <c r="Q840" s="6"/>
      <c r="R840" s="6"/>
      <c r="S840" s="6"/>
      <c r="T840" s="6"/>
      <c r="U840" s="6"/>
      <c r="V840" s="6"/>
      <c r="W840" s="6"/>
      <c r="X840" s="6"/>
      <c r="Y840" s="6"/>
      <c r="Z840" s="6"/>
      <c r="AA840" s="6"/>
      <c r="AB840" s="6"/>
      <c r="AC840" s="6"/>
      <c r="AD840" s="6"/>
    </row>
    <row r="841" spans="2:30" x14ac:dyDescent="0.25">
      <c r="B841" s="15" t="str">
        <f t="shared" si="34"/>
        <v/>
      </c>
      <c r="D841" s="1" t="str">
        <f t="shared" si="35"/>
        <v/>
      </c>
      <c r="E841" s="21"/>
      <c r="F841" s="7"/>
      <c r="G841" s="1"/>
      <c r="I841" s="1"/>
      <c r="N841" s="1"/>
      <c r="O841" s="1"/>
      <c r="P841" s="6"/>
      <c r="Q841" s="6"/>
      <c r="R841" s="6"/>
      <c r="S841" s="6"/>
      <c r="T841" s="6"/>
      <c r="U841" s="6"/>
      <c r="V841" s="6"/>
      <c r="W841" s="6"/>
      <c r="X841" s="6"/>
      <c r="Y841" s="6"/>
      <c r="Z841" s="6"/>
      <c r="AA841" s="6"/>
      <c r="AB841" s="6"/>
      <c r="AC841" s="6"/>
      <c r="AD841" s="6"/>
    </row>
    <row r="842" spans="2:30" x14ac:dyDescent="0.25">
      <c r="B842" s="15" t="str">
        <f t="shared" si="34"/>
        <v/>
      </c>
      <c r="D842" s="1" t="str">
        <f t="shared" si="35"/>
        <v/>
      </c>
      <c r="E842" s="21"/>
      <c r="F842" s="7"/>
      <c r="G842" s="1"/>
      <c r="I842" s="1"/>
      <c r="N842" s="1"/>
      <c r="O842" s="1"/>
      <c r="P842" s="6"/>
      <c r="Q842" s="6"/>
      <c r="R842" s="6"/>
      <c r="S842" s="6"/>
      <c r="T842" s="6"/>
      <c r="U842" s="6"/>
      <c r="V842" s="6"/>
      <c r="W842" s="6"/>
      <c r="X842" s="6"/>
      <c r="Y842" s="6"/>
      <c r="Z842" s="6"/>
      <c r="AA842" s="6"/>
      <c r="AB842" s="6"/>
      <c r="AC842" s="6"/>
      <c r="AD842" s="6"/>
    </row>
    <row r="843" spans="2:30" x14ac:dyDescent="0.25">
      <c r="B843" s="15" t="str">
        <f t="shared" si="34"/>
        <v/>
      </c>
      <c r="D843" s="1" t="str">
        <f t="shared" si="35"/>
        <v/>
      </c>
      <c r="E843" s="21"/>
      <c r="F843" s="7"/>
      <c r="G843" s="1"/>
      <c r="I843" s="1"/>
      <c r="N843" s="1"/>
      <c r="O843" s="1"/>
      <c r="P843" s="6"/>
      <c r="Q843" s="6"/>
      <c r="R843" s="6"/>
      <c r="S843" s="6"/>
      <c r="T843" s="6"/>
      <c r="U843" s="6"/>
      <c r="V843" s="6"/>
      <c r="W843" s="6"/>
      <c r="X843" s="6"/>
      <c r="Y843" s="6"/>
      <c r="Z843" s="6"/>
      <c r="AA843" s="6"/>
      <c r="AB843" s="6"/>
      <c r="AC843" s="6"/>
      <c r="AD843" s="6"/>
    </row>
    <row r="844" spans="2:30" x14ac:dyDescent="0.25">
      <c r="B844" s="15" t="str">
        <f t="shared" si="34"/>
        <v/>
      </c>
      <c r="D844" s="1" t="str">
        <f t="shared" si="35"/>
        <v/>
      </c>
      <c r="E844" s="21"/>
      <c r="F844" s="7"/>
      <c r="G844" s="1"/>
      <c r="I844" s="1"/>
      <c r="N844" s="1"/>
      <c r="O844" s="1"/>
      <c r="P844" s="6"/>
      <c r="Q844" s="6"/>
      <c r="R844" s="6"/>
      <c r="S844" s="6"/>
      <c r="T844" s="6"/>
      <c r="U844" s="6"/>
      <c r="V844" s="6"/>
      <c r="W844" s="6"/>
      <c r="X844" s="6"/>
      <c r="Y844" s="6"/>
      <c r="Z844" s="6"/>
      <c r="AA844" s="6"/>
      <c r="AB844" s="6"/>
      <c r="AC844" s="6"/>
      <c r="AD844" s="6"/>
    </row>
    <row r="845" spans="2:30" x14ac:dyDescent="0.25">
      <c r="B845" s="15" t="str">
        <f t="shared" ref="B845:B908" si="36">IF($B$2=0,"",TEXT($B$2,""))</f>
        <v/>
      </c>
      <c r="D845" s="1" t="str">
        <f t="shared" si="35"/>
        <v/>
      </c>
      <c r="E845" s="21"/>
      <c r="F845" s="7"/>
      <c r="G845" s="1"/>
      <c r="I845" s="1"/>
      <c r="N845" s="1"/>
      <c r="O845" s="1"/>
      <c r="P845" s="6"/>
      <c r="Q845" s="6"/>
      <c r="R845" s="6"/>
      <c r="S845" s="6"/>
      <c r="T845" s="6"/>
      <c r="U845" s="6"/>
      <c r="V845" s="6"/>
      <c r="W845" s="6"/>
      <c r="X845" s="6"/>
      <c r="Y845" s="6"/>
      <c r="Z845" s="6"/>
      <c r="AA845" s="6"/>
      <c r="AB845" s="6"/>
      <c r="AC845" s="6"/>
      <c r="AD845" s="6"/>
    </row>
    <row r="846" spans="2:30" x14ac:dyDescent="0.25">
      <c r="B846" s="15" t="str">
        <f t="shared" si="36"/>
        <v/>
      </c>
      <c r="D846" s="1" t="str">
        <f t="shared" si="35"/>
        <v/>
      </c>
      <c r="E846" s="21"/>
      <c r="F846" s="7"/>
      <c r="G846" s="1"/>
      <c r="I846" s="1"/>
      <c r="N846" s="1"/>
      <c r="O846" s="1"/>
      <c r="P846" s="6"/>
      <c r="Q846" s="6"/>
      <c r="R846" s="6"/>
      <c r="S846" s="6"/>
      <c r="T846" s="6"/>
      <c r="U846" s="6"/>
      <c r="V846" s="6"/>
      <c r="W846" s="6"/>
      <c r="X846" s="6"/>
      <c r="Y846" s="6"/>
      <c r="Z846" s="6"/>
      <c r="AA846" s="6"/>
      <c r="AB846" s="6"/>
      <c r="AC846" s="6"/>
      <c r="AD846" s="6"/>
    </row>
    <row r="847" spans="2:30" x14ac:dyDescent="0.25">
      <c r="B847" s="15" t="str">
        <f t="shared" si="36"/>
        <v/>
      </c>
      <c r="D847" s="1" t="str">
        <f t="shared" si="35"/>
        <v/>
      </c>
      <c r="E847" s="21"/>
      <c r="F847" s="7"/>
      <c r="G847" s="1"/>
      <c r="I847" s="1"/>
      <c r="N847" s="1"/>
      <c r="O847" s="1"/>
      <c r="P847" s="6"/>
      <c r="Q847" s="6"/>
      <c r="R847" s="6"/>
      <c r="S847" s="6"/>
      <c r="T847" s="6"/>
      <c r="U847" s="6"/>
      <c r="V847" s="6"/>
      <c r="W847" s="6"/>
      <c r="X847" s="6"/>
      <c r="Y847" s="6"/>
      <c r="Z847" s="6"/>
      <c r="AA847" s="6"/>
      <c r="AB847" s="6"/>
      <c r="AC847" s="6"/>
      <c r="AD847" s="6"/>
    </row>
    <row r="848" spans="2:30" x14ac:dyDescent="0.25">
      <c r="B848" s="15" t="str">
        <f t="shared" si="36"/>
        <v/>
      </c>
      <c r="D848" s="1" t="str">
        <f t="shared" si="35"/>
        <v/>
      </c>
      <c r="E848" s="21"/>
      <c r="F848" s="7"/>
      <c r="G848" s="1"/>
      <c r="I848" s="1"/>
      <c r="N848" s="1"/>
      <c r="O848" s="1"/>
      <c r="P848" s="6"/>
      <c r="Q848" s="6"/>
      <c r="R848" s="6"/>
      <c r="S848" s="6"/>
      <c r="T848" s="6"/>
      <c r="U848" s="6"/>
      <c r="V848" s="6"/>
      <c r="W848" s="6"/>
      <c r="X848" s="6"/>
      <c r="Y848" s="6"/>
      <c r="Z848" s="6"/>
      <c r="AA848" s="6"/>
      <c r="AB848" s="6"/>
      <c r="AC848" s="6"/>
      <c r="AD848" s="6"/>
    </row>
    <row r="849" spans="2:30" x14ac:dyDescent="0.25">
      <c r="B849" s="15" t="str">
        <f t="shared" si="36"/>
        <v/>
      </c>
      <c r="D849" s="1" t="str">
        <f t="shared" si="35"/>
        <v/>
      </c>
      <c r="E849" s="21"/>
      <c r="F849" s="7"/>
      <c r="G849" s="1"/>
      <c r="I849" s="1"/>
      <c r="N849" s="1"/>
      <c r="O849" s="1"/>
      <c r="P849" s="6"/>
      <c r="Q849" s="6"/>
      <c r="R849" s="6"/>
      <c r="S849" s="6"/>
      <c r="T849" s="6"/>
      <c r="U849" s="6"/>
      <c r="V849" s="6"/>
      <c r="W849" s="6"/>
      <c r="X849" s="6"/>
      <c r="Y849" s="6"/>
      <c r="Z849" s="6"/>
      <c r="AA849" s="6"/>
      <c r="AB849" s="6"/>
      <c r="AC849" s="6"/>
      <c r="AD849" s="6"/>
    </row>
    <row r="850" spans="2:30" x14ac:dyDescent="0.25">
      <c r="B850" s="15" t="str">
        <f t="shared" si="36"/>
        <v/>
      </c>
      <c r="D850" s="1" t="str">
        <f t="shared" si="35"/>
        <v/>
      </c>
      <c r="E850" s="21"/>
      <c r="F850" s="7"/>
      <c r="G850" s="1"/>
      <c r="I850" s="1"/>
      <c r="N850" s="1"/>
      <c r="O850" s="1"/>
      <c r="P850" s="6"/>
      <c r="Q850" s="6"/>
      <c r="R850" s="6"/>
      <c r="S850" s="6"/>
      <c r="T850" s="6"/>
      <c r="U850" s="6"/>
      <c r="V850" s="6"/>
      <c r="W850" s="6"/>
      <c r="X850" s="6"/>
      <c r="Y850" s="6"/>
      <c r="Z850" s="6"/>
      <c r="AA850" s="6"/>
      <c r="AB850" s="6"/>
      <c r="AC850" s="6"/>
      <c r="AD850" s="6"/>
    </row>
    <row r="851" spans="2:30" x14ac:dyDescent="0.25">
      <c r="B851" s="15" t="str">
        <f t="shared" si="36"/>
        <v/>
      </c>
      <c r="D851" s="1" t="str">
        <f t="shared" si="35"/>
        <v/>
      </c>
      <c r="E851" s="21"/>
      <c r="F851" s="7"/>
      <c r="G851" s="1"/>
      <c r="I851" s="1"/>
      <c r="N851" s="1"/>
      <c r="O851" s="1"/>
      <c r="P851" s="6"/>
      <c r="Q851" s="6"/>
      <c r="R851" s="6"/>
      <c r="S851" s="6"/>
      <c r="T851" s="6"/>
      <c r="U851" s="6"/>
      <c r="V851" s="6"/>
      <c r="W851" s="6"/>
      <c r="X851" s="6"/>
      <c r="Y851" s="6"/>
      <c r="Z851" s="6"/>
      <c r="AA851" s="6"/>
      <c r="AB851" s="6"/>
      <c r="AC851" s="6"/>
      <c r="AD851" s="6"/>
    </row>
    <row r="852" spans="2:30" x14ac:dyDescent="0.25">
      <c r="B852" s="15" t="str">
        <f t="shared" si="36"/>
        <v/>
      </c>
      <c r="D852" s="1" t="str">
        <f t="shared" si="35"/>
        <v/>
      </c>
      <c r="E852" s="21"/>
      <c r="F852" s="7"/>
      <c r="G852" s="1"/>
      <c r="I852" s="1"/>
      <c r="N852" s="1"/>
      <c r="O852" s="1"/>
      <c r="P852" s="6"/>
      <c r="Q852" s="6"/>
      <c r="R852" s="6"/>
      <c r="S852" s="6"/>
      <c r="T852" s="6"/>
      <c r="U852" s="6"/>
      <c r="V852" s="6"/>
      <c r="W852" s="6"/>
      <c r="X852" s="6"/>
      <c r="Y852" s="6"/>
      <c r="Z852" s="6"/>
      <c r="AA852" s="6"/>
      <c r="AB852" s="6"/>
      <c r="AC852" s="6"/>
      <c r="AD852" s="6"/>
    </row>
    <row r="853" spans="2:30" x14ac:dyDescent="0.25">
      <c r="B853" s="15" t="str">
        <f t="shared" si="36"/>
        <v/>
      </c>
      <c r="D853" s="1" t="str">
        <f t="shared" si="35"/>
        <v/>
      </c>
      <c r="E853" s="21"/>
      <c r="F853" s="7"/>
      <c r="G853" s="1"/>
      <c r="I853" s="1"/>
      <c r="N853" s="1"/>
      <c r="O853" s="1"/>
      <c r="P853" s="6"/>
      <c r="Q853" s="6"/>
      <c r="R853" s="6"/>
      <c r="S853" s="6"/>
      <c r="T853" s="6"/>
      <c r="U853" s="6"/>
      <c r="V853" s="6"/>
      <c r="W853" s="6"/>
      <c r="X853" s="6"/>
      <c r="Y853" s="6"/>
      <c r="Z853" s="6"/>
      <c r="AA853" s="6"/>
      <c r="AB853" s="6"/>
      <c r="AC853" s="6"/>
      <c r="AD853" s="6"/>
    </row>
    <row r="854" spans="2:30" x14ac:dyDescent="0.25">
      <c r="B854" s="15" t="str">
        <f t="shared" si="36"/>
        <v/>
      </c>
      <c r="D854" s="1" t="str">
        <f t="shared" si="35"/>
        <v/>
      </c>
      <c r="E854" s="21"/>
      <c r="F854" s="7"/>
      <c r="G854" s="1"/>
      <c r="I854" s="1"/>
      <c r="N854" s="1"/>
      <c r="O854" s="1"/>
      <c r="P854" s="6"/>
      <c r="Q854" s="6"/>
      <c r="R854" s="6"/>
      <c r="S854" s="6"/>
      <c r="T854" s="6"/>
      <c r="U854" s="6"/>
      <c r="V854" s="6"/>
      <c r="W854" s="6"/>
      <c r="X854" s="6"/>
      <c r="Y854" s="6"/>
      <c r="Z854" s="6"/>
      <c r="AA854" s="6"/>
      <c r="AB854" s="6"/>
      <c r="AC854" s="6"/>
      <c r="AD854" s="6"/>
    </row>
    <row r="855" spans="2:30" x14ac:dyDescent="0.25">
      <c r="B855" s="15" t="str">
        <f t="shared" si="36"/>
        <v/>
      </c>
      <c r="D855" s="1" t="str">
        <f t="shared" si="35"/>
        <v/>
      </c>
      <c r="E855" s="21"/>
      <c r="F855" s="7"/>
      <c r="G855" s="1"/>
      <c r="I855" s="1"/>
      <c r="N855" s="1"/>
      <c r="O855" s="1"/>
      <c r="P855" s="6"/>
      <c r="Q855" s="6"/>
      <c r="R855" s="6"/>
      <c r="S855" s="6"/>
      <c r="T855" s="6"/>
      <c r="U855" s="6"/>
      <c r="V855" s="6"/>
      <c r="W855" s="6"/>
      <c r="X855" s="6"/>
      <c r="Y855" s="6"/>
      <c r="Z855" s="6"/>
      <c r="AA855" s="6"/>
      <c r="AB855" s="6"/>
      <c r="AC855" s="6"/>
      <c r="AD855" s="6"/>
    </row>
    <row r="856" spans="2:30" x14ac:dyDescent="0.25">
      <c r="B856" s="15" t="str">
        <f t="shared" si="36"/>
        <v/>
      </c>
      <c r="D856" s="1" t="str">
        <f t="shared" si="35"/>
        <v/>
      </c>
      <c r="E856" s="21"/>
      <c r="F856" s="7"/>
      <c r="G856" s="1"/>
      <c r="I856" s="1"/>
      <c r="N856" s="1"/>
      <c r="O856" s="1"/>
      <c r="P856" s="6"/>
      <c r="Q856" s="6"/>
      <c r="R856" s="6"/>
      <c r="S856" s="6"/>
      <c r="T856" s="6"/>
      <c r="U856" s="6"/>
      <c r="V856" s="6"/>
      <c r="W856" s="6"/>
      <c r="X856" s="6"/>
      <c r="Y856" s="6"/>
      <c r="Z856" s="6"/>
      <c r="AA856" s="6"/>
      <c r="AB856" s="6"/>
      <c r="AC856" s="6"/>
      <c r="AD856" s="6"/>
    </row>
    <row r="857" spans="2:30" x14ac:dyDescent="0.25">
      <c r="B857" s="15" t="str">
        <f t="shared" si="36"/>
        <v/>
      </c>
      <c r="D857" s="1" t="str">
        <f t="shared" si="35"/>
        <v/>
      </c>
      <c r="E857" s="21"/>
      <c r="F857" s="7"/>
      <c r="G857" s="1"/>
      <c r="I857" s="1"/>
      <c r="N857" s="1"/>
      <c r="O857" s="1"/>
      <c r="P857" s="6"/>
      <c r="Q857" s="6"/>
      <c r="R857" s="6"/>
      <c r="S857" s="6"/>
      <c r="T857" s="6"/>
      <c r="U857" s="6"/>
      <c r="V857" s="6"/>
      <c r="W857" s="6"/>
      <c r="X857" s="6"/>
      <c r="Y857" s="6"/>
      <c r="Z857" s="6"/>
      <c r="AA857" s="6"/>
      <c r="AB857" s="6"/>
      <c r="AC857" s="6"/>
      <c r="AD857" s="6"/>
    </row>
    <row r="858" spans="2:30" x14ac:dyDescent="0.25">
      <c r="B858" s="15" t="str">
        <f t="shared" si="36"/>
        <v/>
      </c>
      <c r="D858" s="1" t="str">
        <f t="shared" si="35"/>
        <v/>
      </c>
      <c r="E858" s="21"/>
      <c r="F858" s="7"/>
      <c r="G858" s="1"/>
      <c r="I858" s="1"/>
      <c r="N858" s="1"/>
      <c r="O858" s="1"/>
      <c r="P858" s="6"/>
      <c r="Q858" s="6"/>
      <c r="R858" s="6"/>
      <c r="S858" s="6"/>
      <c r="T858" s="6"/>
      <c r="U858" s="6"/>
      <c r="V858" s="6"/>
      <c r="W858" s="6"/>
      <c r="X858" s="6"/>
      <c r="Y858" s="6"/>
      <c r="Z858" s="6"/>
      <c r="AA858" s="6"/>
      <c r="AB858" s="6"/>
      <c r="AC858" s="6"/>
      <c r="AD858" s="6"/>
    </row>
    <row r="859" spans="2:30" x14ac:dyDescent="0.25">
      <c r="B859" s="15" t="str">
        <f t="shared" si="36"/>
        <v/>
      </c>
      <c r="D859" s="1" t="str">
        <f t="shared" si="35"/>
        <v/>
      </c>
      <c r="E859" s="21"/>
      <c r="F859" s="7"/>
      <c r="G859" s="1"/>
      <c r="I859" s="1"/>
      <c r="N859" s="1"/>
      <c r="O859" s="1"/>
      <c r="P859" s="6"/>
      <c r="Q859" s="6"/>
      <c r="R859" s="6"/>
      <c r="S859" s="6"/>
      <c r="T859" s="6"/>
      <c r="U859" s="6"/>
      <c r="V859" s="6"/>
      <c r="W859" s="6"/>
      <c r="X859" s="6"/>
      <c r="Y859" s="6"/>
      <c r="Z859" s="6"/>
      <c r="AA859" s="6"/>
      <c r="AB859" s="6"/>
      <c r="AC859" s="6"/>
      <c r="AD859" s="6"/>
    </row>
    <row r="860" spans="2:30" x14ac:dyDescent="0.25">
      <c r="B860" s="15" t="str">
        <f t="shared" si="36"/>
        <v/>
      </c>
      <c r="D860" s="1" t="str">
        <f t="shared" si="35"/>
        <v/>
      </c>
      <c r="E860" s="21"/>
      <c r="F860" s="7"/>
      <c r="G860" s="1"/>
      <c r="I860" s="1"/>
      <c r="N860" s="1"/>
      <c r="O860" s="1"/>
      <c r="P860" s="6"/>
      <c r="Q860" s="6"/>
      <c r="R860" s="6"/>
      <c r="S860" s="6"/>
      <c r="T860" s="6"/>
      <c r="U860" s="6"/>
      <c r="V860" s="6"/>
      <c r="W860" s="6"/>
      <c r="X860" s="6"/>
      <c r="Y860" s="6"/>
      <c r="Z860" s="6"/>
      <c r="AA860" s="6"/>
      <c r="AB860" s="6"/>
      <c r="AC860" s="6"/>
      <c r="AD860" s="6"/>
    </row>
    <row r="861" spans="2:30" x14ac:dyDescent="0.25">
      <c r="B861" s="15" t="str">
        <f t="shared" si="36"/>
        <v/>
      </c>
      <c r="D861" s="1" t="str">
        <f t="shared" si="35"/>
        <v/>
      </c>
      <c r="E861" s="21"/>
      <c r="F861" s="7"/>
      <c r="G861" s="1"/>
      <c r="I861" s="1"/>
      <c r="N861" s="1"/>
      <c r="O861" s="1"/>
      <c r="P861" s="6"/>
      <c r="Q861" s="6"/>
      <c r="R861" s="6"/>
      <c r="S861" s="6"/>
      <c r="T861" s="6"/>
      <c r="U861" s="6"/>
      <c r="V861" s="6"/>
      <c r="W861" s="6"/>
      <c r="X861" s="6"/>
      <c r="Y861" s="6"/>
      <c r="Z861" s="6"/>
      <c r="AA861" s="6"/>
      <c r="AB861" s="6"/>
      <c r="AC861" s="6"/>
      <c r="AD861" s="6"/>
    </row>
    <row r="862" spans="2:30" x14ac:dyDescent="0.25">
      <c r="B862" s="15" t="str">
        <f t="shared" si="36"/>
        <v/>
      </c>
      <c r="D862" s="1" t="str">
        <f t="shared" si="35"/>
        <v/>
      </c>
      <c r="E862" s="21"/>
      <c r="F862" s="7"/>
      <c r="G862" s="1"/>
      <c r="I862" s="1"/>
      <c r="N862" s="1"/>
      <c r="O862" s="1"/>
      <c r="P862" s="6"/>
      <c r="Q862" s="6"/>
      <c r="R862" s="6"/>
      <c r="S862" s="6"/>
      <c r="T862" s="6"/>
      <c r="U862" s="6"/>
      <c r="V862" s="6"/>
      <c r="W862" s="6"/>
      <c r="X862" s="6"/>
      <c r="Y862" s="6"/>
      <c r="Z862" s="6"/>
      <c r="AA862" s="6"/>
      <c r="AB862" s="6"/>
      <c r="AC862" s="6"/>
      <c r="AD862" s="6"/>
    </row>
    <row r="863" spans="2:30" x14ac:dyDescent="0.25">
      <c r="B863" s="15" t="str">
        <f t="shared" si="36"/>
        <v/>
      </c>
      <c r="D863" s="1" t="str">
        <f t="shared" si="35"/>
        <v/>
      </c>
      <c r="E863" s="21"/>
      <c r="F863" s="7"/>
      <c r="G863" s="1"/>
      <c r="I863" s="1"/>
      <c r="N863" s="1"/>
      <c r="O863" s="1"/>
      <c r="P863" s="6"/>
      <c r="Q863" s="6"/>
      <c r="R863" s="6"/>
      <c r="S863" s="6"/>
      <c r="T863" s="6"/>
      <c r="U863" s="6"/>
      <c r="V863" s="6"/>
      <c r="W863" s="6"/>
      <c r="X863" s="6"/>
      <c r="Y863" s="6"/>
      <c r="Z863" s="6"/>
      <c r="AA863" s="6"/>
      <c r="AB863" s="6"/>
      <c r="AC863" s="6"/>
      <c r="AD863" s="6"/>
    </row>
    <row r="864" spans="2:30" x14ac:dyDescent="0.25">
      <c r="B864" s="15" t="str">
        <f t="shared" si="36"/>
        <v/>
      </c>
      <c r="D864" s="1" t="str">
        <f t="shared" si="35"/>
        <v/>
      </c>
      <c r="E864" s="21"/>
      <c r="F864" s="7"/>
      <c r="G864" s="1"/>
      <c r="I864" s="1"/>
      <c r="N864" s="1"/>
      <c r="O864" s="1"/>
      <c r="P864" s="6"/>
      <c r="Q864" s="6"/>
      <c r="R864" s="6"/>
      <c r="S864" s="6"/>
      <c r="T864" s="6"/>
      <c r="U864" s="6"/>
      <c r="V864" s="6"/>
      <c r="W864" s="6"/>
      <c r="X864" s="6"/>
      <c r="Y864" s="6"/>
      <c r="Z864" s="6"/>
      <c r="AA864" s="6"/>
      <c r="AB864" s="6"/>
      <c r="AC864" s="6"/>
      <c r="AD864" s="6"/>
    </row>
    <row r="865" spans="2:30" x14ac:dyDescent="0.25">
      <c r="B865" s="15" t="str">
        <f t="shared" si="36"/>
        <v/>
      </c>
      <c r="D865" s="1" t="str">
        <f t="shared" si="35"/>
        <v/>
      </c>
      <c r="E865" s="21"/>
      <c r="F865" s="7"/>
      <c r="G865" s="1"/>
      <c r="I865" s="1"/>
      <c r="N865" s="1"/>
      <c r="O865" s="1"/>
      <c r="P865" s="6"/>
      <c r="Q865" s="6"/>
      <c r="R865" s="6"/>
      <c r="S865" s="6"/>
      <c r="T865" s="6"/>
      <c r="U865" s="6"/>
      <c r="V865" s="6"/>
      <c r="W865" s="6"/>
      <c r="X865" s="6"/>
      <c r="Y865" s="6"/>
      <c r="Z865" s="6"/>
      <c r="AA865" s="6"/>
      <c r="AB865" s="6"/>
      <c r="AC865" s="6"/>
      <c r="AD865" s="6"/>
    </row>
    <row r="866" spans="2:30" x14ac:dyDescent="0.25">
      <c r="B866" s="15" t="str">
        <f t="shared" si="36"/>
        <v/>
      </c>
      <c r="D866" s="1" t="str">
        <f t="shared" si="35"/>
        <v/>
      </c>
      <c r="E866" s="21"/>
      <c r="F866" s="7"/>
      <c r="G866" s="1"/>
      <c r="I866" s="1"/>
      <c r="N866" s="1"/>
      <c r="O866" s="1"/>
      <c r="P866" s="6"/>
      <c r="Q866" s="6"/>
      <c r="R866" s="6"/>
      <c r="S866" s="6"/>
      <c r="T866" s="6"/>
      <c r="U866" s="6"/>
      <c r="V866" s="6"/>
      <c r="W866" s="6"/>
      <c r="X866" s="6"/>
      <c r="Y866" s="6"/>
      <c r="Z866" s="6"/>
      <c r="AA866" s="6"/>
      <c r="AB866" s="6"/>
      <c r="AC866" s="6"/>
      <c r="AD866" s="6"/>
    </row>
    <row r="867" spans="2:30" x14ac:dyDescent="0.25">
      <c r="B867" s="15" t="str">
        <f t="shared" si="36"/>
        <v/>
      </c>
      <c r="D867" s="1" t="str">
        <f t="shared" si="35"/>
        <v/>
      </c>
      <c r="E867" s="21"/>
      <c r="F867" s="7"/>
      <c r="G867" s="1"/>
      <c r="I867" s="1"/>
      <c r="N867" s="1"/>
      <c r="O867" s="1"/>
      <c r="P867" s="6"/>
      <c r="Q867" s="6"/>
      <c r="R867" s="6"/>
      <c r="S867" s="6"/>
      <c r="T867" s="6"/>
      <c r="U867" s="6"/>
      <c r="V867" s="6"/>
      <c r="W867" s="6"/>
      <c r="X867" s="6"/>
      <c r="Y867" s="6"/>
      <c r="Z867" s="6"/>
      <c r="AA867" s="6"/>
      <c r="AB867" s="6"/>
      <c r="AC867" s="6"/>
      <c r="AD867" s="6"/>
    </row>
    <row r="868" spans="2:30" x14ac:dyDescent="0.25">
      <c r="B868" s="15" t="str">
        <f t="shared" si="36"/>
        <v/>
      </c>
      <c r="D868" s="1" t="str">
        <f t="shared" si="35"/>
        <v/>
      </c>
      <c r="E868" s="21"/>
      <c r="F868" s="7"/>
      <c r="G868" s="1"/>
      <c r="I868" s="1"/>
      <c r="N868" s="1"/>
      <c r="O868" s="1"/>
      <c r="P868" s="6"/>
      <c r="Q868" s="6"/>
      <c r="R868" s="6"/>
      <c r="S868" s="6"/>
      <c r="T868" s="6"/>
      <c r="U868" s="6"/>
      <c r="V868" s="6"/>
      <c r="W868" s="6"/>
      <c r="X868" s="6"/>
      <c r="Y868" s="6"/>
      <c r="Z868" s="6"/>
      <c r="AA868" s="6"/>
      <c r="AB868" s="6"/>
      <c r="AC868" s="6"/>
      <c r="AD868" s="6"/>
    </row>
    <row r="869" spans="2:30" x14ac:dyDescent="0.25">
      <c r="B869" s="15" t="str">
        <f t="shared" si="36"/>
        <v/>
      </c>
      <c r="D869" s="1" t="str">
        <f t="shared" si="35"/>
        <v/>
      </c>
      <c r="E869" s="21"/>
      <c r="F869" s="7"/>
      <c r="G869" s="1"/>
      <c r="I869" s="1"/>
      <c r="N869" s="1"/>
      <c r="O869" s="1"/>
      <c r="P869" s="6"/>
      <c r="Q869" s="6"/>
      <c r="R869" s="6"/>
      <c r="S869" s="6"/>
      <c r="T869" s="6"/>
      <c r="U869" s="6"/>
      <c r="V869" s="6"/>
      <c r="W869" s="6"/>
      <c r="X869" s="6"/>
      <c r="Y869" s="6"/>
      <c r="Z869" s="6"/>
      <c r="AA869" s="6"/>
      <c r="AB869" s="6"/>
      <c r="AC869" s="6"/>
      <c r="AD869" s="6"/>
    </row>
    <row r="870" spans="2:30" x14ac:dyDescent="0.25">
      <c r="B870" s="15" t="str">
        <f t="shared" si="36"/>
        <v/>
      </c>
      <c r="D870" s="1" t="str">
        <f t="shared" si="35"/>
        <v/>
      </c>
      <c r="E870" s="21"/>
      <c r="F870" s="7"/>
      <c r="G870" s="1"/>
      <c r="I870" s="1"/>
      <c r="N870" s="1"/>
      <c r="O870" s="1"/>
      <c r="P870" s="6"/>
      <c r="Q870" s="6"/>
      <c r="R870" s="6"/>
      <c r="S870" s="6"/>
      <c r="T870" s="6"/>
      <c r="U870" s="6"/>
      <c r="V870" s="6"/>
      <c r="W870" s="6"/>
      <c r="X870" s="6"/>
      <c r="Y870" s="6"/>
      <c r="Z870" s="6"/>
      <c r="AA870" s="6"/>
      <c r="AB870" s="6"/>
      <c r="AC870" s="6"/>
      <c r="AD870" s="6"/>
    </row>
    <row r="871" spans="2:30" x14ac:dyDescent="0.25">
      <c r="B871" s="15" t="str">
        <f t="shared" si="36"/>
        <v/>
      </c>
      <c r="D871" s="1" t="str">
        <f t="shared" si="35"/>
        <v/>
      </c>
      <c r="E871" s="21"/>
      <c r="F871" s="7"/>
      <c r="G871" s="1"/>
      <c r="I871" s="1"/>
      <c r="N871" s="1"/>
      <c r="O871" s="1"/>
      <c r="P871" s="6"/>
      <c r="Q871" s="6"/>
      <c r="R871" s="6"/>
      <c r="S871" s="6"/>
      <c r="T871" s="6"/>
      <c r="U871" s="6"/>
      <c r="V871" s="6"/>
      <c r="W871" s="6"/>
      <c r="X871" s="6"/>
      <c r="Y871" s="6"/>
      <c r="Z871" s="6"/>
      <c r="AA871" s="6"/>
      <c r="AB871" s="6"/>
      <c r="AC871" s="6"/>
      <c r="AD871" s="6"/>
    </row>
    <row r="872" spans="2:30" x14ac:dyDescent="0.25">
      <c r="B872" s="15" t="str">
        <f t="shared" si="36"/>
        <v/>
      </c>
      <c r="D872" s="1" t="str">
        <f t="shared" si="35"/>
        <v/>
      </c>
      <c r="E872" s="21"/>
      <c r="F872" s="7"/>
      <c r="G872" s="1"/>
      <c r="I872" s="1"/>
      <c r="N872" s="1"/>
      <c r="O872" s="1"/>
      <c r="P872" s="6"/>
      <c r="Q872" s="6"/>
      <c r="R872" s="6"/>
      <c r="S872" s="6"/>
      <c r="T872" s="6"/>
      <c r="U872" s="6"/>
      <c r="V872" s="6"/>
      <c r="W872" s="6"/>
      <c r="X872" s="6"/>
      <c r="Y872" s="6"/>
      <c r="Z872" s="6"/>
      <c r="AA872" s="6"/>
      <c r="AB872" s="6"/>
      <c r="AC872" s="6"/>
      <c r="AD872" s="6"/>
    </row>
    <row r="873" spans="2:30" x14ac:dyDescent="0.25">
      <c r="B873" s="15" t="str">
        <f t="shared" si="36"/>
        <v/>
      </c>
      <c r="D873" s="1" t="str">
        <f t="shared" si="35"/>
        <v/>
      </c>
      <c r="E873" s="21"/>
      <c r="F873" s="7"/>
      <c r="G873" s="1"/>
      <c r="I873" s="1"/>
      <c r="N873" s="1"/>
      <c r="O873" s="1"/>
      <c r="P873" s="6"/>
      <c r="Q873" s="6"/>
      <c r="R873" s="6"/>
      <c r="S873" s="6"/>
      <c r="T873" s="6"/>
      <c r="U873" s="6"/>
      <c r="V873" s="6"/>
      <c r="W873" s="6"/>
      <c r="X873" s="6"/>
      <c r="Y873" s="6"/>
      <c r="Z873" s="6"/>
      <c r="AA873" s="6"/>
      <c r="AB873" s="6"/>
      <c r="AC873" s="6"/>
      <c r="AD873" s="6"/>
    </row>
    <row r="874" spans="2:30" x14ac:dyDescent="0.25">
      <c r="B874" s="15" t="str">
        <f t="shared" si="36"/>
        <v/>
      </c>
      <c r="D874" s="1" t="str">
        <f t="shared" si="35"/>
        <v/>
      </c>
      <c r="E874" s="21"/>
      <c r="F874" s="7"/>
      <c r="G874" s="1"/>
      <c r="I874" s="1"/>
      <c r="N874" s="1"/>
      <c r="O874" s="1"/>
      <c r="P874" s="6"/>
      <c r="Q874" s="6"/>
      <c r="R874" s="6"/>
      <c r="S874" s="6"/>
      <c r="T874" s="6"/>
      <c r="U874" s="6"/>
      <c r="V874" s="6"/>
      <c r="W874" s="6"/>
      <c r="X874" s="6"/>
      <c r="Y874" s="6"/>
      <c r="Z874" s="6"/>
      <c r="AA874" s="6"/>
      <c r="AB874" s="6"/>
      <c r="AC874" s="6"/>
      <c r="AD874" s="6"/>
    </row>
    <row r="875" spans="2:30" x14ac:dyDescent="0.25">
      <c r="B875" s="15" t="str">
        <f t="shared" si="36"/>
        <v/>
      </c>
      <c r="D875" s="1" t="str">
        <f t="shared" si="35"/>
        <v/>
      </c>
      <c r="E875" s="21"/>
      <c r="F875" s="7"/>
      <c r="G875" s="1"/>
      <c r="I875" s="1"/>
      <c r="N875" s="1"/>
      <c r="O875" s="1"/>
      <c r="P875" s="6"/>
      <c r="Q875" s="6"/>
      <c r="R875" s="6"/>
      <c r="S875" s="6"/>
      <c r="T875" s="6"/>
      <c r="U875" s="6"/>
      <c r="V875" s="6"/>
      <c r="W875" s="6"/>
      <c r="X875" s="6"/>
      <c r="Y875" s="6"/>
      <c r="Z875" s="6"/>
      <c r="AA875" s="6"/>
      <c r="AB875" s="6"/>
      <c r="AC875" s="6"/>
      <c r="AD875" s="6"/>
    </row>
    <row r="876" spans="2:30" x14ac:dyDescent="0.25">
      <c r="B876" s="15" t="str">
        <f t="shared" si="36"/>
        <v/>
      </c>
      <c r="D876" s="1" t="str">
        <f t="shared" si="35"/>
        <v/>
      </c>
      <c r="E876" s="21"/>
      <c r="F876" s="7"/>
      <c r="G876" s="1"/>
      <c r="I876" s="1"/>
      <c r="N876" s="1"/>
      <c r="O876" s="1"/>
      <c r="P876" s="6"/>
      <c r="Q876" s="6"/>
      <c r="R876" s="6"/>
      <c r="S876" s="6"/>
      <c r="T876" s="6"/>
      <c r="U876" s="6"/>
      <c r="V876" s="6"/>
      <c r="W876" s="6"/>
      <c r="X876" s="6"/>
      <c r="Y876" s="6"/>
      <c r="Z876" s="6"/>
      <c r="AA876" s="6"/>
      <c r="AB876" s="6"/>
      <c r="AC876" s="6"/>
      <c r="AD876" s="6"/>
    </row>
    <row r="877" spans="2:30" x14ac:dyDescent="0.25">
      <c r="B877" s="15" t="str">
        <f t="shared" si="36"/>
        <v/>
      </c>
      <c r="D877" s="1" t="str">
        <f t="shared" si="35"/>
        <v/>
      </c>
      <c r="E877" s="21"/>
      <c r="F877" s="7"/>
      <c r="G877" s="1"/>
      <c r="I877" s="1"/>
      <c r="N877" s="1"/>
      <c r="O877" s="1"/>
      <c r="P877" s="6"/>
      <c r="Q877" s="6"/>
      <c r="R877" s="6"/>
      <c r="S877" s="6"/>
      <c r="T877" s="6"/>
      <c r="U877" s="6"/>
      <c r="V877" s="6"/>
      <c r="W877" s="6"/>
      <c r="X877" s="6"/>
      <c r="Y877" s="6"/>
      <c r="Z877" s="6"/>
      <c r="AA877" s="6"/>
      <c r="AB877" s="6"/>
      <c r="AC877" s="6"/>
      <c r="AD877" s="6"/>
    </row>
    <row r="878" spans="2:30" x14ac:dyDescent="0.25">
      <c r="B878" s="15" t="str">
        <f t="shared" si="36"/>
        <v/>
      </c>
      <c r="D878" s="1" t="str">
        <f t="shared" si="35"/>
        <v/>
      </c>
      <c r="E878" s="21"/>
      <c r="F878" s="7"/>
      <c r="G878" s="1"/>
      <c r="I878" s="1"/>
      <c r="N878" s="1"/>
      <c r="O878" s="1"/>
      <c r="P878" s="6"/>
      <c r="Q878" s="6"/>
      <c r="R878" s="6"/>
      <c r="S878" s="6"/>
      <c r="T878" s="6"/>
      <c r="U878" s="6"/>
      <c r="V878" s="6"/>
      <c r="W878" s="6"/>
      <c r="X878" s="6"/>
      <c r="Y878" s="6"/>
      <c r="Z878" s="6"/>
      <c r="AA878" s="6"/>
      <c r="AB878" s="6"/>
      <c r="AC878" s="6"/>
      <c r="AD878" s="6"/>
    </row>
    <row r="879" spans="2:30" x14ac:dyDescent="0.25">
      <c r="B879" s="15" t="str">
        <f t="shared" si="36"/>
        <v/>
      </c>
      <c r="D879" s="1" t="str">
        <f t="shared" si="35"/>
        <v/>
      </c>
      <c r="E879" s="21"/>
      <c r="F879" s="7"/>
      <c r="G879" s="1"/>
      <c r="I879" s="1"/>
      <c r="N879" s="1"/>
      <c r="O879" s="1"/>
      <c r="P879" s="6"/>
      <c r="Q879" s="6"/>
      <c r="R879" s="6"/>
      <c r="S879" s="6"/>
      <c r="T879" s="6"/>
      <c r="U879" s="6"/>
      <c r="V879" s="6"/>
      <c r="W879" s="6"/>
      <c r="X879" s="6"/>
      <c r="Y879" s="6"/>
      <c r="Z879" s="6"/>
      <c r="AA879" s="6"/>
      <c r="AB879" s="6"/>
      <c r="AC879" s="6"/>
      <c r="AD879" s="6"/>
    </row>
    <row r="880" spans="2:30" x14ac:dyDescent="0.25">
      <c r="B880" s="15" t="str">
        <f t="shared" si="36"/>
        <v/>
      </c>
      <c r="D880" s="1" t="str">
        <f t="shared" si="35"/>
        <v/>
      </c>
      <c r="E880" s="21"/>
      <c r="F880" s="7"/>
      <c r="G880" s="1"/>
      <c r="I880" s="1"/>
      <c r="N880" s="1"/>
      <c r="O880" s="1"/>
      <c r="P880" s="6"/>
      <c r="Q880" s="6"/>
      <c r="R880" s="6"/>
      <c r="S880" s="6"/>
      <c r="T880" s="6"/>
      <c r="U880" s="6"/>
      <c r="V880" s="6"/>
      <c r="W880" s="6"/>
      <c r="X880" s="6"/>
      <c r="Y880" s="6"/>
      <c r="Z880" s="6"/>
      <c r="AA880" s="6"/>
      <c r="AB880" s="6"/>
      <c r="AC880" s="6"/>
      <c r="AD880" s="6"/>
    </row>
    <row r="881" spans="2:30" x14ac:dyDescent="0.25">
      <c r="B881" s="15" t="str">
        <f t="shared" si="36"/>
        <v/>
      </c>
      <c r="D881" s="1" t="str">
        <f t="shared" si="35"/>
        <v/>
      </c>
      <c r="E881" s="21"/>
      <c r="F881" s="7"/>
      <c r="G881" s="1"/>
      <c r="I881" s="1"/>
      <c r="N881" s="1"/>
      <c r="O881" s="1"/>
      <c r="P881" s="6"/>
      <c r="Q881" s="6"/>
      <c r="R881" s="6"/>
      <c r="S881" s="6"/>
      <c r="T881" s="6"/>
      <c r="U881" s="6"/>
      <c r="V881" s="6"/>
      <c r="W881" s="6"/>
      <c r="X881" s="6"/>
      <c r="Y881" s="6"/>
      <c r="Z881" s="6"/>
      <c r="AA881" s="6"/>
      <c r="AB881" s="6"/>
      <c r="AC881" s="6"/>
      <c r="AD881" s="6"/>
    </row>
    <row r="882" spans="2:30" x14ac:dyDescent="0.25">
      <c r="B882" s="15" t="str">
        <f t="shared" si="36"/>
        <v/>
      </c>
      <c r="D882" s="1" t="str">
        <f t="shared" si="35"/>
        <v/>
      </c>
      <c r="E882" s="21"/>
      <c r="F882" s="7"/>
      <c r="G882" s="1"/>
      <c r="I882" s="1"/>
      <c r="N882" s="1"/>
      <c r="O882" s="1"/>
      <c r="P882" s="6"/>
      <c r="Q882" s="6"/>
      <c r="R882" s="6"/>
      <c r="S882" s="6"/>
      <c r="T882" s="6"/>
      <c r="U882" s="6"/>
      <c r="V882" s="6"/>
      <c r="W882" s="6"/>
      <c r="X882" s="6"/>
      <c r="Y882" s="6"/>
      <c r="Z882" s="6"/>
      <c r="AA882" s="6"/>
      <c r="AB882" s="6"/>
      <c r="AC882" s="6"/>
      <c r="AD882" s="6"/>
    </row>
    <row r="883" spans="2:30" x14ac:dyDescent="0.25">
      <c r="B883" s="15" t="str">
        <f t="shared" si="36"/>
        <v/>
      </c>
      <c r="D883" s="1" t="str">
        <f t="shared" si="35"/>
        <v/>
      </c>
      <c r="E883" s="21"/>
      <c r="F883" s="7"/>
      <c r="G883" s="1"/>
      <c r="I883" s="1"/>
      <c r="N883" s="1"/>
      <c r="O883" s="1"/>
      <c r="P883" s="6"/>
      <c r="Q883" s="6"/>
      <c r="R883" s="6"/>
      <c r="S883" s="6"/>
      <c r="T883" s="6"/>
      <c r="U883" s="6"/>
      <c r="V883" s="6"/>
      <c r="W883" s="6"/>
      <c r="X883" s="6"/>
      <c r="Y883" s="6"/>
      <c r="Z883" s="6"/>
      <c r="AA883" s="6"/>
      <c r="AB883" s="6"/>
      <c r="AC883" s="6"/>
      <c r="AD883" s="6"/>
    </row>
    <row r="884" spans="2:30" x14ac:dyDescent="0.25">
      <c r="B884" s="15" t="str">
        <f t="shared" si="36"/>
        <v/>
      </c>
      <c r="D884" s="1" t="str">
        <f t="shared" si="35"/>
        <v/>
      </c>
      <c r="E884" s="21"/>
      <c r="F884" s="7"/>
      <c r="G884" s="1"/>
      <c r="I884" s="1"/>
      <c r="N884" s="1"/>
      <c r="O884" s="1"/>
      <c r="P884" s="6"/>
      <c r="Q884" s="6"/>
      <c r="R884" s="6"/>
      <c r="S884" s="6"/>
      <c r="T884" s="6"/>
      <c r="U884" s="6"/>
      <c r="V884" s="6"/>
      <c r="W884" s="6"/>
      <c r="X884" s="6"/>
      <c r="Y884" s="6"/>
      <c r="Z884" s="6"/>
      <c r="AA884" s="6"/>
      <c r="AB884" s="6"/>
      <c r="AC884" s="6"/>
      <c r="AD884" s="6"/>
    </row>
    <row r="885" spans="2:30" x14ac:dyDescent="0.25">
      <c r="B885" s="15" t="str">
        <f t="shared" si="36"/>
        <v/>
      </c>
      <c r="D885" s="1" t="str">
        <f t="shared" si="35"/>
        <v/>
      </c>
      <c r="E885" s="21"/>
      <c r="F885" s="7"/>
      <c r="G885" s="1"/>
      <c r="I885" s="1"/>
      <c r="N885" s="1"/>
      <c r="O885" s="1"/>
      <c r="P885" s="6"/>
      <c r="Q885" s="6"/>
      <c r="R885" s="6"/>
      <c r="S885" s="6"/>
      <c r="T885" s="6"/>
      <c r="U885" s="6"/>
      <c r="V885" s="6"/>
      <c r="W885" s="6"/>
      <c r="X885" s="6"/>
      <c r="Y885" s="6"/>
      <c r="Z885" s="6"/>
      <c r="AA885" s="6"/>
      <c r="AB885" s="6"/>
      <c r="AC885" s="6"/>
      <c r="AD885" s="6"/>
    </row>
    <row r="886" spans="2:30" x14ac:dyDescent="0.25">
      <c r="B886" s="15" t="str">
        <f t="shared" si="36"/>
        <v/>
      </c>
      <c r="D886" s="1" t="str">
        <f t="shared" si="35"/>
        <v/>
      </c>
      <c r="E886" s="21"/>
      <c r="F886" s="7"/>
      <c r="G886" s="1"/>
      <c r="I886" s="1"/>
      <c r="N886" s="1"/>
      <c r="O886" s="1"/>
      <c r="P886" s="6"/>
      <c r="Q886" s="6"/>
      <c r="R886" s="6"/>
      <c r="S886" s="6"/>
      <c r="T886" s="6"/>
      <c r="U886" s="6"/>
      <c r="V886" s="6"/>
      <c r="W886" s="6"/>
      <c r="X886" s="6"/>
      <c r="Y886" s="6"/>
      <c r="Z886" s="6"/>
      <c r="AA886" s="6"/>
      <c r="AB886" s="6"/>
      <c r="AC886" s="6"/>
      <c r="AD886" s="6"/>
    </row>
    <row r="887" spans="2:30" x14ac:dyDescent="0.25">
      <c r="B887" s="15" t="str">
        <f t="shared" si="36"/>
        <v/>
      </c>
      <c r="D887" s="1" t="str">
        <f t="shared" si="35"/>
        <v/>
      </c>
      <c r="E887" s="21"/>
      <c r="F887" s="7"/>
      <c r="G887" s="1"/>
      <c r="I887" s="1"/>
      <c r="N887" s="1"/>
      <c r="O887" s="1"/>
      <c r="P887" s="6"/>
      <c r="Q887" s="6"/>
      <c r="R887" s="6"/>
      <c r="S887" s="6"/>
      <c r="T887" s="6"/>
      <c r="U887" s="6"/>
      <c r="V887" s="6"/>
      <c r="W887" s="6"/>
      <c r="X887" s="6"/>
      <c r="Y887" s="6"/>
      <c r="Z887" s="6"/>
      <c r="AA887" s="6"/>
      <c r="AB887" s="6"/>
      <c r="AC887" s="6"/>
      <c r="AD887" s="6"/>
    </row>
    <row r="888" spans="2:30" x14ac:dyDescent="0.25">
      <c r="B888" s="15" t="str">
        <f t="shared" si="36"/>
        <v/>
      </c>
      <c r="D888" s="1" t="str">
        <f t="shared" si="35"/>
        <v/>
      </c>
      <c r="E888" s="21"/>
      <c r="F888" s="7"/>
      <c r="G888" s="1"/>
      <c r="I888" s="1"/>
      <c r="N888" s="1"/>
      <c r="O888" s="1"/>
      <c r="P888" s="6"/>
      <c r="Q888" s="6"/>
      <c r="R888" s="6"/>
      <c r="S888" s="6"/>
      <c r="T888" s="6"/>
      <c r="U888" s="6"/>
      <c r="V888" s="6"/>
      <c r="W888" s="6"/>
      <c r="X888" s="6"/>
      <c r="Y888" s="6"/>
      <c r="Z888" s="6"/>
      <c r="AA888" s="6"/>
      <c r="AB888" s="6"/>
      <c r="AC888" s="6"/>
      <c r="AD888" s="6"/>
    </row>
    <row r="889" spans="2:30" x14ac:dyDescent="0.25">
      <c r="B889" s="15" t="str">
        <f t="shared" si="36"/>
        <v/>
      </c>
      <c r="D889" s="1" t="str">
        <f t="shared" si="35"/>
        <v/>
      </c>
      <c r="E889" s="21"/>
      <c r="F889" s="7"/>
      <c r="G889" s="1"/>
      <c r="I889" s="1"/>
      <c r="N889" s="1"/>
      <c r="O889" s="1"/>
      <c r="P889" s="6"/>
      <c r="Q889" s="6"/>
      <c r="R889" s="6"/>
      <c r="S889" s="6"/>
      <c r="T889" s="6"/>
      <c r="U889" s="6"/>
      <c r="V889" s="6"/>
      <c r="W889" s="6"/>
      <c r="X889" s="6"/>
      <c r="Y889" s="6"/>
      <c r="Z889" s="6"/>
      <c r="AA889" s="6"/>
      <c r="AB889" s="6"/>
      <c r="AC889" s="6"/>
      <c r="AD889" s="6"/>
    </row>
    <row r="890" spans="2:30" x14ac:dyDescent="0.25">
      <c r="B890" s="15" t="str">
        <f t="shared" si="36"/>
        <v/>
      </c>
      <c r="D890" s="1" t="str">
        <f t="shared" si="35"/>
        <v/>
      </c>
      <c r="E890" s="21"/>
      <c r="F890" s="7"/>
      <c r="G890" s="1"/>
      <c r="I890" s="1"/>
      <c r="N890" s="1"/>
      <c r="O890" s="1"/>
      <c r="P890" s="6"/>
      <c r="Q890" s="6"/>
      <c r="R890" s="6"/>
      <c r="S890" s="6"/>
      <c r="T890" s="6"/>
      <c r="U890" s="6"/>
      <c r="V890" s="6"/>
      <c r="W890" s="6"/>
      <c r="X890" s="6"/>
      <c r="Y890" s="6"/>
      <c r="Z890" s="6"/>
      <c r="AA890" s="6"/>
      <c r="AB890" s="6"/>
      <c r="AC890" s="6"/>
      <c r="AD890" s="6"/>
    </row>
    <row r="891" spans="2:30" x14ac:dyDescent="0.25">
      <c r="B891" s="15" t="str">
        <f t="shared" si="36"/>
        <v/>
      </c>
      <c r="D891" s="1" t="str">
        <f t="shared" si="35"/>
        <v/>
      </c>
      <c r="E891" s="21"/>
      <c r="F891" s="7"/>
      <c r="G891" s="1"/>
      <c r="I891" s="1"/>
      <c r="N891" s="1"/>
      <c r="O891" s="1"/>
      <c r="P891" s="6"/>
      <c r="Q891" s="6"/>
      <c r="R891" s="6"/>
      <c r="S891" s="6"/>
      <c r="T891" s="6"/>
      <c r="U891" s="6"/>
      <c r="V891" s="6"/>
      <c r="W891" s="6"/>
      <c r="X891" s="6"/>
      <c r="Y891" s="6"/>
      <c r="Z891" s="6"/>
      <c r="AA891" s="6"/>
      <c r="AB891" s="6"/>
      <c r="AC891" s="6"/>
      <c r="AD891" s="6"/>
    </row>
    <row r="892" spans="2:30" x14ac:dyDescent="0.25">
      <c r="B892" s="15" t="str">
        <f t="shared" si="36"/>
        <v/>
      </c>
      <c r="D892" s="1" t="str">
        <f t="shared" si="35"/>
        <v/>
      </c>
      <c r="E892" s="21"/>
      <c r="F892" s="7"/>
      <c r="G892" s="1"/>
      <c r="I892" s="1"/>
      <c r="N892" s="1"/>
      <c r="O892" s="1"/>
      <c r="P892" s="6"/>
      <c r="Q892" s="6"/>
      <c r="R892" s="6"/>
      <c r="S892" s="6"/>
      <c r="T892" s="6"/>
      <c r="U892" s="6"/>
      <c r="V892" s="6"/>
      <c r="W892" s="6"/>
      <c r="X892" s="6"/>
      <c r="Y892" s="6"/>
      <c r="Z892" s="6"/>
      <c r="AA892" s="6"/>
      <c r="AB892" s="6"/>
      <c r="AC892" s="6"/>
      <c r="AD892" s="6"/>
    </row>
    <row r="893" spans="2:30" x14ac:dyDescent="0.25">
      <c r="B893" s="15" t="str">
        <f t="shared" si="36"/>
        <v/>
      </c>
      <c r="D893" s="1" t="str">
        <f t="shared" si="35"/>
        <v/>
      </c>
      <c r="E893" s="21"/>
      <c r="F893" s="7"/>
      <c r="G893" s="1"/>
      <c r="I893" s="1"/>
      <c r="N893" s="1"/>
      <c r="O893" s="1"/>
      <c r="P893" s="6"/>
      <c r="Q893" s="6"/>
      <c r="R893" s="6"/>
      <c r="S893" s="6"/>
      <c r="T893" s="6"/>
      <c r="U893" s="6"/>
      <c r="V893" s="6"/>
      <c r="W893" s="6"/>
      <c r="X893" s="6"/>
      <c r="Y893" s="6"/>
      <c r="Z893" s="6"/>
      <c r="AA893" s="6"/>
      <c r="AB893" s="6"/>
      <c r="AC893" s="6"/>
      <c r="AD893" s="6"/>
    </row>
    <row r="894" spans="2:30" x14ac:dyDescent="0.25">
      <c r="B894" s="15" t="str">
        <f t="shared" si="36"/>
        <v/>
      </c>
      <c r="D894" s="1" t="str">
        <f t="shared" si="35"/>
        <v/>
      </c>
      <c r="E894" s="21"/>
      <c r="F894" s="7"/>
      <c r="G894" s="1"/>
      <c r="I894" s="1"/>
      <c r="N894" s="1"/>
      <c r="O894" s="1"/>
      <c r="P894" s="6"/>
      <c r="Q894" s="6"/>
      <c r="R894" s="6"/>
      <c r="S894" s="6"/>
      <c r="T894" s="6"/>
      <c r="U894" s="6"/>
      <c r="V894" s="6"/>
      <c r="W894" s="6"/>
      <c r="X894" s="6"/>
      <c r="Y894" s="6"/>
      <c r="Z894" s="6"/>
      <c r="AA894" s="6"/>
      <c r="AB894" s="6"/>
      <c r="AC894" s="6"/>
      <c r="AD894" s="6"/>
    </row>
    <row r="895" spans="2:30" x14ac:dyDescent="0.25">
      <c r="B895" s="15" t="str">
        <f t="shared" si="36"/>
        <v/>
      </c>
      <c r="D895" s="1" t="str">
        <f t="shared" si="35"/>
        <v/>
      </c>
      <c r="E895" s="21"/>
      <c r="F895" s="7"/>
      <c r="G895" s="1"/>
      <c r="I895" s="1"/>
      <c r="N895" s="1"/>
      <c r="O895" s="1"/>
      <c r="P895" s="6"/>
      <c r="Q895" s="6"/>
      <c r="R895" s="6"/>
      <c r="S895" s="6"/>
      <c r="T895" s="6"/>
      <c r="U895" s="6"/>
      <c r="V895" s="6"/>
      <c r="W895" s="6"/>
      <c r="X895" s="6"/>
      <c r="Y895" s="6"/>
      <c r="Z895" s="6"/>
      <c r="AA895" s="6"/>
      <c r="AB895" s="6"/>
      <c r="AC895" s="6"/>
      <c r="AD895" s="6"/>
    </row>
    <row r="896" spans="2:30" x14ac:dyDescent="0.25">
      <c r="B896" s="15" t="str">
        <f t="shared" si="36"/>
        <v/>
      </c>
      <c r="D896" s="1" t="str">
        <f t="shared" si="35"/>
        <v/>
      </c>
      <c r="E896" s="21"/>
      <c r="F896" s="7"/>
      <c r="G896" s="1"/>
      <c r="I896" s="1"/>
      <c r="N896" s="1"/>
      <c r="O896" s="1"/>
      <c r="P896" s="6"/>
      <c r="Q896" s="6"/>
      <c r="R896" s="6"/>
      <c r="S896" s="6"/>
      <c r="T896" s="6"/>
      <c r="U896" s="6"/>
      <c r="V896" s="6"/>
      <c r="W896" s="6"/>
      <c r="X896" s="6"/>
      <c r="Y896" s="6"/>
      <c r="Z896" s="6"/>
      <c r="AA896" s="6"/>
      <c r="AB896" s="6"/>
      <c r="AC896" s="6"/>
      <c r="AD896" s="6"/>
    </row>
    <row r="897" spans="2:30" x14ac:dyDescent="0.25">
      <c r="B897" s="15" t="str">
        <f t="shared" si="36"/>
        <v/>
      </c>
      <c r="D897" s="1" t="str">
        <f t="shared" si="35"/>
        <v/>
      </c>
      <c r="E897" s="21"/>
      <c r="F897" s="7"/>
      <c r="G897" s="1"/>
      <c r="I897" s="1"/>
      <c r="N897" s="1"/>
      <c r="O897" s="1"/>
      <c r="P897" s="6"/>
      <c r="Q897" s="6"/>
      <c r="R897" s="6"/>
      <c r="S897" s="6"/>
      <c r="T897" s="6"/>
      <c r="U897" s="6"/>
      <c r="V897" s="6"/>
      <c r="W897" s="6"/>
      <c r="X897" s="6"/>
      <c r="Y897" s="6"/>
      <c r="Z897" s="6"/>
      <c r="AA897" s="6"/>
      <c r="AB897" s="6"/>
      <c r="AC897" s="6"/>
      <c r="AD897" s="6"/>
    </row>
    <row r="898" spans="2:30" x14ac:dyDescent="0.25">
      <c r="B898" s="15" t="str">
        <f t="shared" si="36"/>
        <v/>
      </c>
      <c r="D898" s="1" t="str">
        <f t="shared" si="35"/>
        <v/>
      </c>
      <c r="E898" s="21"/>
      <c r="F898" s="7"/>
      <c r="G898" s="1"/>
      <c r="I898" s="1"/>
      <c r="N898" s="1"/>
      <c r="O898" s="1"/>
      <c r="P898" s="6"/>
      <c r="Q898" s="6"/>
      <c r="R898" s="6"/>
      <c r="S898" s="6"/>
      <c r="T898" s="6"/>
      <c r="U898" s="6"/>
      <c r="V898" s="6"/>
      <c r="W898" s="6"/>
      <c r="X898" s="6"/>
      <c r="Y898" s="6"/>
      <c r="Z898" s="6"/>
      <c r="AA898" s="6"/>
      <c r="AB898" s="6"/>
      <c r="AC898" s="6"/>
      <c r="AD898" s="6"/>
    </row>
    <row r="899" spans="2:30" x14ac:dyDescent="0.25">
      <c r="B899" s="15" t="str">
        <f t="shared" si="36"/>
        <v/>
      </c>
      <c r="D899" s="1" t="str">
        <f t="shared" ref="D899:D962" si="37">IF(C899=0,"",TEXT($C899,"dddd"))</f>
        <v/>
      </c>
      <c r="E899" s="21"/>
      <c r="F899" s="7"/>
      <c r="G899" s="1"/>
      <c r="I899" s="1"/>
      <c r="N899" s="1"/>
      <c r="O899" s="1"/>
      <c r="P899" s="6"/>
      <c r="Q899" s="6"/>
      <c r="R899" s="6"/>
      <c r="S899" s="6"/>
      <c r="T899" s="6"/>
      <c r="U899" s="6"/>
      <c r="V899" s="6"/>
      <c r="W899" s="6"/>
      <c r="X899" s="6"/>
      <c r="Y899" s="6"/>
      <c r="Z899" s="6"/>
      <c r="AA899" s="6"/>
      <c r="AB899" s="6"/>
      <c r="AC899" s="6"/>
      <c r="AD899" s="6"/>
    </row>
    <row r="900" spans="2:30" x14ac:dyDescent="0.25">
      <c r="B900" s="15" t="str">
        <f t="shared" si="36"/>
        <v/>
      </c>
      <c r="D900" s="1" t="str">
        <f t="shared" si="37"/>
        <v/>
      </c>
      <c r="E900" s="21"/>
      <c r="F900" s="7"/>
      <c r="G900" s="1"/>
      <c r="I900" s="1"/>
      <c r="N900" s="1"/>
      <c r="O900" s="1"/>
      <c r="P900" s="6"/>
      <c r="Q900" s="6"/>
      <c r="R900" s="6"/>
      <c r="S900" s="6"/>
      <c r="T900" s="6"/>
      <c r="U900" s="6"/>
      <c r="V900" s="6"/>
      <c r="W900" s="6"/>
      <c r="X900" s="6"/>
      <c r="Y900" s="6"/>
      <c r="Z900" s="6"/>
      <c r="AA900" s="6"/>
      <c r="AB900" s="6"/>
      <c r="AC900" s="6"/>
      <c r="AD900" s="6"/>
    </row>
    <row r="901" spans="2:30" x14ac:dyDescent="0.25">
      <c r="B901" s="15" t="str">
        <f t="shared" si="36"/>
        <v/>
      </c>
      <c r="D901" s="1" t="str">
        <f t="shared" si="37"/>
        <v/>
      </c>
      <c r="E901" s="21"/>
      <c r="F901" s="7"/>
      <c r="G901" s="1"/>
      <c r="I901" s="1"/>
      <c r="N901" s="1"/>
      <c r="O901" s="1"/>
      <c r="P901" s="6"/>
      <c r="Q901" s="6"/>
      <c r="R901" s="6"/>
      <c r="S901" s="6"/>
      <c r="T901" s="6"/>
      <c r="U901" s="6"/>
      <c r="V901" s="6"/>
      <c r="W901" s="6"/>
      <c r="X901" s="6"/>
      <c r="Y901" s="6"/>
      <c r="Z901" s="6"/>
      <c r="AA901" s="6"/>
      <c r="AB901" s="6"/>
      <c r="AC901" s="6"/>
      <c r="AD901" s="6"/>
    </row>
    <row r="902" spans="2:30" x14ac:dyDescent="0.25">
      <c r="B902" s="15" t="str">
        <f t="shared" si="36"/>
        <v/>
      </c>
      <c r="D902" s="1" t="str">
        <f t="shared" si="37"/>
        <v/>
      </c>
      <c r="E902" s="21"/>
      <c r="F902" s="7"/>
      <c r="G902" s="1"/>
      <c r="I902" s="1"/>
      <c r="N902" s="1"/>
      <c r="O902" s="1"/>
      <c r="P902" s="6"/>
      <c r="Q902" s="6"/>
      <c r="R902" s="6"/>
      <c r="S902" s="6"/>
      <c r="T902" s="6"/>
      <c r="U902" s="6"/>
      <c r="V902" s="6"/>
      <c r="W902" s="6"/>
      <c r="X902" s="6"/>
      <c r="Y902" s="6"/>
      <c r="Z902" s="6"/>
      <c r="AA902" s="6"/>
      <c r="AB902" s="6"/>
      <c r="AC902" s="6"/>
      <c r="AD902" s="6"/>
    </row>
    <row r="903" spans="2:30" x14ac:dyDescent="0.25">
      <c r="B903" s="15" t="str">
        <f t="shared" si="36"/>
        <v/>
      </c>
      <c r="D903" s="1" t="str">
        <f t="shared" si="37"/>
        <v/>
      </c>
      <c r="E903" s="21"/>
      <c r="F903" s="7"/>
      <c r="G903" s="1"/>
      <c r="I903" s="1"/>
      <c r="N903" s="1"/>
      <c r="O903" s="1"/>
      <c r="P903" s="6"/>
      <c r="Q903" s="6"/>
      <c r="R903" s="6"/>
      <c r="S903" s="6"/>
      <c r="T903" s="6"/>
      <c r="U903" s="6"/>
      <c r="V903" s="6"/>
      <c r="W903" s="6"/>
      <c r="X903" s="6"/>
      <c r="Y903" s="6"/>
      <c r="Z903" s="6"/>
      <c r="AA903" s="6"/>
      <c r="AB903" s="6"/>
      <c r="AC903" s="6"/>
      <c r="AD903" s="6"/>
    </row>
    <row r="904" spans="2:30" x14ac:dyDescent="0.25">
      <c r="B904" s="15" t="str">
        <f t="shared" si="36"/>
        <v/>
      </c>
      <c r="D904" s="1" t="str">
        <f t="shared" si="37"/>
        <v/>
      </c>
      <c r="E904" s="21"/>
      <c r="F904" s="7"/>
      <c r="G904" s="1"/>
      <c r="I904" s="1"/>
      <c r="N904" s="1"/>
      <c r="O904" s="1"/>
      <c r="P904" s="6"/>
      <c r="Q904" s="6"/>
      <c r="R904" s="6"/>
      <c r="S904" s="6"/>
      <c r="T904" s="6"/>
      <c r="U904" s="6"/>
      <c r="V904" s="6"/>
      <c r="W904" s="6"/>
      <c r="X904" s="6"/>
      <c r="Y904" s="6"/>
      <c r="Z904" s="6"/>
      <c r="AA904" s="6"/>
      <c r="AB904" s="6"/>
      <c r="AC904" s="6"/>
      <c r="AD904" s="6"/>
    </row>
    <row r="905" spans="2:30" x14ac:dyDescent="0.25">
      <c r="B905" s="15" t="str">
        <f t="shared" si="36"/>
        <v/>
      </c>
      <c r="D905" s="1" t="str">
        <f t="shared" si="37"/>
        <v/>
      </c>
      <c r="E905" s="21"/>
      <c r="F905" s="7"/>
      <c r="G905" s="1"/>
      <c r="I905" s="1"/>
      <c r="N905" s="1"/>
      <c r="O905" s="1"/>
      <c r="P905" s="6"/>
      <c r="Q905" s="6"/>
      <c r="R905" s="6"/>
      <c r="S905" s="6"/>
      <c r="T905" s="6"/>
      <c r="U905" s="6"/>
      <c r="V905" s="6"/>
      <c r="W905" s="6"/>
      <c r="X905" s="6"/>
      <c r="Y905" s="6"/>
      <c r="Z905" s="6"/>
      <c r="AA905" s="6"/>
      <c r="AB905" s="6"/>
      <c r="AC905" s="6"/>
      <c r="AD905" s="6"/>
    </row>
    <row r="906" spans="2:30" x14ac:dyDescent="0.25">
      <c r="B906" s="15" t="str">
        <f t="shared" si="36"/>
        <v/>
      </c>
      <c r="D906" s="1" t="str">
        <f t="shared" si="37"/>
        <v/>
      </c>
      <c r="E906" s="21"/>
      <c r="F906" s="7"/>
      <c r="G906" s="1"/>
      <c r="I906" s="1"/>
      <c r="N906" s="1"/>
      <c r="O906" s="1"/>
      <c r="P906" s="6"/>
      <c r="Q906" s="6"/>
      <c r="R906" s="6"/>
      <c r="S906" s="6"/>
      <c r="T906" s="6"/>
      <c r="U906" s="6"/>
      <c r="V906" s="6"/>
      <c r="W906" s="6"/>
      <c r="X906" s="6"/>
      <c r="Y906" s="6"/>
      <c r="Z906" s="6"/>
      <c r="AA906" s="6"/>
      <c r="AB906" s="6"/>
      <c r="AC906" s="6"/>
      <c r="AD906" s="6"/>
    </row>
    <row r="907" spans="2:30" x14ac:dyDescent="0.25">
      <c r="B907" s="15" t="str">
        <f t="shared" si="36"/>
        <v/>
      </c>
      <c r="D907" s="1" t="str">
        <f t="shared" si="37"/>
        <v/>
      </c>
      <c r="E907" s="21"/>
      <c r="F907" s="7"/>
      <c r="G907" s="1"/>
      <c r="I907" s="1"/>
      <c r="N907" s="1"/>
      <c r="O907" s="1"/>
      <c r="P907" s="6"/>
      <c r="Q907" s="6"/>
      <c r="R907" s="6"/>
      <c r="S907" s="6"/>
      <c r="T907" s="6"/>
      <c r="U907" s="6"/>
      <c r="V907" s="6"/>
      <c r="W907" s="6"/>
      <c r="X907" s="6"/>
      <c r="Y907" s="6"/>
      <c r="Z907" s="6"/>
      <c r="AA907" s="6"/>
      <c r="AB907" s="6"/>
      <c r="AC907" s="6"/>
      <c r="AD907" s="6"/>
    </row>
    <row r="908" spans="2:30" x14ac:dyDescent="0.25">
      <c r="B908" s="15" t="str">
        <f t="shared" si="36"/>
        <v/>
      </c>
      <c r="D908" s="1" t="str">
        <f t="shared" si="37"/>
        <v/>
      </c>
      <c r="E908" s="21"/>
      <c r="F908" s="7"/>
      <c r="G908" s="1"/>
      <c r="I908" s="1"/>
      <c r="N908" s="1"/>
      <c r="O908" s="1"/>
      <c r="P908" s="6"/>
      <c r="Q908" s="6"/>
      <c r="R908" s="6"/>
      <c r="S908" s="6"/>
      <c r="T908" s="6"/>
      <c r="U908" s="6"/>
      <c r="V908" s="6"/>
      <c r="W908" s="6"/>
      <c r="X908" s="6"/>
      <c r="Y908" s="6"/>
      <c r="Z908" s="6"/>
      <c r="AA908" s="6"/>
      <c r="AB908" s="6"/>
      <c r="AC908" s="6"/>
      <c r="AD908" s="6"/>
    </row>
    <row r="909" spans="2:30" x14ac:dyDescent="0.25">
      <c r="B909" s="15" t="str">
        <f t="shared" ref="B909:B972" si="38">IF($B$2=0,"",TEXT($B$2,""))</f>
        <v/>
      </c>
      <c r="D909" s="1" t="str">
        <f t="shared" si="37"/>
        <v/>
      </c>
      <c r="E909" s="21"/>
      <c r="F909" s="7"/>
      <c r="G909" s="1"/>
      <c r="I909" s="1"/>
      <c r="N909" s="1"/>
      <c r="O909" s="1"/>
      <c r="P909" s="6"/>
      <c r="Q909" s="6"/>
      <c r="R909" s="6"/>
      <c r="S909" s="6"/>
      <c r="T909" s="6"/>
      <c r="U909" s="6"/>
      <c r="V909" s="6"/>
      <c r="W909" s="6"/>
      <c r="X909" s="6"/>
      <c r="Y909" s="6"/>
      <c r="Z909" s="6"/>
      <c r="AA909" s="6"/>
      <c r="AB909" s="6"/>
      <c r="AC909" s="6"/>
      <c r="AD909" s="6"/>
    </row>
    <row r="910" spans="2:30" x14ac:dyDescent="0.25">
      <c r="B910" s="15" t="str">
        <f t="shared" si="38"/>
        <v/>
      </c>
      <c r="D910" s="1" t="str">
        <f t="shared" si="37"/>
        <v/>
      </c>
      <c r="E910" s="21"/>
      <c r="F910" s="7"/>
      <c r="G910" s="1"/>
      <c r="I910" s="1"/>
      <c r="N910" s="1"/>
      <c r="O910" s="1"/>
      <c r="P910" s="6"/>
      <c r="Q910" s="6"/>
      <c r="R910" s="6"/>
      <c r="S910" s="6"/>
      <c r="T910" s="6"/>
      <c r="U910" s="6"/>
      <c r="V910" s="6"/>
      <c r="W910" s="6"/>
      <c r="X910" s="6"/>
      <c r="Y910" s="6"/>
      <c r="Z910" s="6"/>
      <c r="AA910" s="6"/>
      <c r="AB910" s="6"/>
      <c r="AC910" s="6"/>
      <c r="AD910" s="6"/>
    </row>
    <row r="911" spans="2:30" x14ac:dyDescent="0.25">
      <c r="B911" s="15" t="str">
        <f t="shared" si="38"/>
        <v/>
      </c>
      <c r="D911" s="1" t="str">
        <f t="shared" si="37"/>
        <v/>
      </c>
      <c r="E911" s="21"/>
      <c r="F911" s="7"/>
      <c r="G911" s="1"/>
      <c r="I911" s="1"/>
      <c r="N911" s="1"/>
      <c r="O911" s="1"/>
      <c r="P911" s="6"/>
      <c r="Q911" s="6"/>
      <c r="R911" s="6"/>
      <c r="S911" s="6"/>
      <c r="T911" s="6"/>
      <c r="U911" s="6"/>
      <c r="V911" s="6"/>
      <c r="W911" s="6"/>
      <c r="X911" s="6"/>
      <c r="Y911" s="6"/>
      <c r="Z911" s="6"/>
      <c r="AA911" s="6"/>
      <c r="AB911" s="6"/>
      <c r="AC911" s="6"/>
      <c r="AD911" s="6"/>
    </row>
    <row r="912" spans="2:30" x14ac:dyDescent="0.25">
      <c r="B912" s="15" t="str">
        <f t="shared" si="38"/>
        <v/>
      </c>
      <c r="D912" s="1" t="str">
        <f t="shared" si="37"/>
        <v/>
      </c>
      <c r="E912" s="21"/>
      <c r="F912" s="7"/>
      <c r="G912" s="1"/>
      <c r="I912" s="1"/>
      <c r="N912" s="1"/>
      <c r="O912" s="1"/>
      <c r="P912" s="6"/>
      <c r="Q912" s="6"/>
      <c r="R912" s="6"/>
      <c r="S912" s="6"/>
      <c r="T912" s="6"/>
      <c r="U912" s="6"/>
      <c r="V912" s="6"/>
      <c r="W912" s="6"/>
      <c r="X912" s="6"/>
      <c r="Y912" s="6"/>
      <c r="Z912" s="6"/>
      <c r="AA912" s="6"/>
      <c r="AB912" s="6"/>
      <c r="AC912" s="6"/>
      <c r="AD912" s="6"/>
    </row>
    <row r="913" spans="2:30" x14ac:dyDescent="0.25">
      <c r="B913" s="15" t="str">
        <f t="shared" si="38"/>
        <v/>
      </c>
      <c r="D913" s="1" t="str">
        <f t="shared" si="37"/>
        <v/>
      </c>
      <c r="E913" s="21"/>
      <c r="F913" s="7"/>
      <c r="G913" s="1"/>
      <c r="I913" s="1"/>
      <c r="N913" s="1"/>
      <c r="O913" s="1"/>
      <c r="P913" s="6"/>
      <c r="Q913" s="6"/>
      <c r="R913" s="6"/>
      <c r="S913" s="6"/>
      <c r="T913" s="6"/>
      <c r="U913" s="6"/>
      <c r="V913" s="6"/>
      <c r="W913" s="6"/>
      <c r="X913" s="6"/>
      <c r="Y913" s="6"/>
      <c r="Z913" s="6"/>
      <c r="AA913" s="6"/>
      <c r="AB913" s="6"/>
      <c r="AC913" s="6"/>
      <c r="AD913" s="6"/>
    </row>
    <row r="914" spans="2:30" x14ac:dyDescent="0.25">
      <c r="B914" t="str">
        <f t="shared" si="38"/>
        <v/>
      </c>
      <c r="D914" s="1" t="str">
        <f t="shared" si="37"/>
        <v/>
      </c>
      <c r="E914" s="21"/>
      <c r="F914" s="7"/>
      <c r="G914" s="1"/>
      <c r="I914" s="1"/>
      <c r="N914" s="1"/>
      <c r="O914" s="1"/>
      <c r="P914" s="6"/>
      <c r="Q914" s="6"/>
      <c r="R914" s="6"/>
      <c r="S914" s="6"/>
      <c r="T914" s="6"/>
      <c r="U914" s="6"/>
      <c r="V914" s="6"/>
      <c r="W914" s="6"/>
      <c r="X914" s="6"/>
      <c r="Y914" s="6"/>
      <c r="Z914" s="6"/>
      <c r="AA914" s="6"/>
      <c r="AB914" s="6"/>
      <c r="AC914" s="6"/>
      <c r="AD914" s="6"/>
    </row>
    <row r="915" spans="2:30" x14ac:dyDescent="0.25">
      <c r="B915" t="str">
        <f t="shared" si="38"/>
        <v/>
      </c>
      <c r="D915" s="1" t="str">
        <f t="shared" si="37"/>
        <v/>
      </c>
      <c r="E915" s="21"/>
      <c r="F915" s="7"/>
      <c r="G915" s="1"/>
      <c r="I915" s="1"/>
      <c r="N915" s="1"/>
      <c r="O915" s="1"/>
      <c r="P915" s="6"/>
      <c r="Q915" s="6"/>
      <c r="R915" s="6"/>
      <c r="S915" s="6"/>
      <c r="T915" s="6"/>
      <c r="U915" s="6"/>
      <c r="V915" s="6"/>
      <c r="W915" s="6"/>
      <c r="X915" s="6"/>
      <c r="Y915" s="6"/>
      <c r="Z915" s="6"/>
      <c r="AA915" s="6"/>
      <c r="AB915" s="6"/>
      <c r="AC915" s="6"/>
      <c r="AD915" s="6"/>
    </row>
    <row r="916" spans="2:30" x14ac:dyDescent="0.25">
      <c r="B916" t="str">
        <f t="shared" si="38"/>
        <v/>
      </c>
      <c r="D916" s="1" t="str">
        <f t="shared" si="37"/>
        <v/>
      </c>
      <c r="E916" s="21"/>
      <c r="F916" s="7"/>
      <c r="G916" s="1"/>
      <c r="I916" s="1"/>
      <c r="N916" s="1"/>
      <c r="O916" s="1"/>
      <c r="P916" s="6"/>
      <c r="Q916" s="6"/>
      <c r="R916" s="6"/>
      <c r="S916" s="6"/>
      <c r="T916" s="6"/>
      <c r="U916" s="6"/>
      <c r="V916" s="6"/>
      <c r="W916" s="6"/>
      <c r="X916" s="6"/>
      <c r="Y916" s="6"/>
      <c r="Z916" s="6"/>
      <c r="AA916" s="6"/>
      <c r="AB916" s="6"/>
      <c r="AC916" s="6"/>
      <c r="AD916" s="6"/>
    </row>
    <row r="917" spans="2:30" x14ac:dyDescent="0.25">
      <c r="B917" t="str">
        <f t="shared" si="38"/>
        <v/>
      </c>
      <c r="D917" s="1" t="str">
        <f t="shared" si="37"/>
        <v/>
      </c>
      <c r="E917" s="21"/>
      <c r="F917" s="7"/>
      <c r="G917" s="1"/>
      <c r="I917" s="1"/>
      <c r="N917" s="1"/>
      <c r="O917" s="1"/>
      <c r="P917" s="6"/>
      <c r="Q917" s="6"/>
      <c r="R917" s="6"/>
      <c r="S917" s="6"/>
      <c r="T917" s="6"/>
      <c r="U917" s="6"/>
      <c r="V917" s="6"/>
      <c r="W917" s="6"/>
      <c r="X917" s="6"/>
      <c r="Y917" s="6"/>
      <c r="Z917" s="6"/>
      <c r="AA917" s="6"/>
      <c r="AB917" s="6"/>
      <c r="AC917" s="6"/>
      <c r="AD917" s="6"/>
    </row>
    <row r="918" spans="2:30" x14ac:dyDescent="0.25">
      <c r="B918" t="str">
        <f t="shared" si="38"/>
        <v/>
      </c>
      <c r="D918" s="1" t="str">
        <f t="shared" si="37"/>
        <v/>
      </c>
      <c r="E918" s="21"/>
      <c r="F918" s="7"/>
      <c r="G918" s="1"/>
      <c r="I918" s="1"/>
      <c r="N918" s="1"/>
      <c r="O918" s="1"/>
      <c r="P918" s="6"/>
      <c r="Q918" s="6"/>
      <c r="R918" s="6"/>
      <c r="S918" s="6"/>
      <c r="T918" s="6"/>
      <c r="U918" s="6"/>
      <c r="V918" s="6"/>
      <c r="W918" s="6"/>
      <c r="X918" s="6"/>
      <c r="Y918" s="6"/>
      <c r="Z918" s="6"/>
      <c r="AA918" s="6"/>
      <c r="AB918" s="6"/>
      <c r="AC918" s="6"/>
      <c r="AD918" s="6"/>
    </row>
    <row r="919" spans="2:30" x14ac:dyDescent="0.25">
      <c r="B919" t="str">
        <f t="shared" si="38"/>
        <v/>
      </c>
      <c r="D919" s="1" t="str">
        <f t="shared" si="37"/>
        <v/>
      </c>
      <c r="E919" s="21"/>
      <c r="F919" s="7"/>
      <c r="G919" s="1"/>
      <c r="I919" s="1"/>
      <c r="N919" s="1"/>
      <c r="O919" s="1"/>
      <c r="P919" s="6"/>
      <c r="Q919" s="6"/>
      <c r="R919" s="6"/>
      <c r="S919" s="6"/>
      <c r="T919" s="6"/>
      <c r="U919" s="6"/>
      <c r="V919" s="6"/>
      <c r="W919" s="6"/>
      <c r="X919" s="6"/>
      <c r="Y919" s="6"/>
      <c r="Z919" s="6"/>
      <c r="AA919" s="6"/>
      <c r="AB919" s="6"/>
      <c r="AC919" s="6"/>
      <c r="AD919" s="6"/>
    </row>
    <row r="920" spans="2:30" x14ac:dyDescent="0.25">
      <c r="B920" t="str">
        <f t="shared" si="38"/>
        <v/>
      </c>
      <c r="D920" s="1" t="str">
        <f t="shared" si="37"/>
        <v/>
      </c>
      <c r="E920" s="21"/>
      <c r="F920" s="7"/>
      <c r="G920" s="1"/>
      <c r="I920" s="1"/>
      <c r="N920" s="1"/>
      <c r="O920" s="1"/>
      <c r="P920" s="6"/>
      <c r="Q920" s="6"/>
      <c r="R920" s="6"/>
      <c r="S920" s="6"/>
      <c r="T920" s="6"/>
      <c r="U920" s="6"/>
      <c r="V920" s="6"/>
      <c r="W920" s="6"/>
      <c r="X920" s="6"/>
      <c r="Y920" s="6"/>
      <c r="Z920" s="6"/>
      <c r="AA920" s="6"/>
      <c r="AB920" s="6"/>
      <c r="AC920" s="6"/>
      <c r="AD920" s="6"/>
    </row>
    <row r="921" spans="2:30" x14ac:dyDescent="0.25">
      <c r="B921" t="str">
        <f t="shared" si="38"/>
        <v/>
      </c>
      <c r="D921" s="1" t="str">
        <f t="shared" si="37"/>
        <v/>
      </c>
      <c r="E921" s="21"/>
      <c r="F921" s="7"/>
      <c r="G921" s="1"/>
      <c r="I921" s="1"/>
      <c r="N921" s="1"/>
      <c r="O921" s="1"/>
      <c r="P921" s="6"/>
      <c r="Q921" s="6"/>
      <c r="R921" s="6"/>
      <c r="S921" s="6"/>
      <c r="T921" s="6"/>
      <c r="U921" s="6"/>
      <c r="V921" s="6"/>
      <c r="W921" s="6"/>
      <c r="X921" s="6"/>
      <c r="Y921" s="6"/>
      <c r="Z921" s="6"/>
      <c r="AA921" s="6"/>
      <c r="AB921" s="6"/>
      <c r="AC921" s="6"/>
      <c r="AD921" s="6"/>
    </row>
    <row r="922" spans="2:30" x14ac:dyDescent="0.25">
      <c r="B922" t="str">
        <f t="shared" si="38"/>
        <v/>
      </c>
      <c r="D922" s="1" t="str">
        <f t="shared" si="37"/>
        <v/>
      </c>
      <c r="E922" s="21"/>
      <c r="F922" s="7"/>
      <c r="G922" s="1"/>
      <c r="I922" s="1"/>
      <c r="N922" s="1"/>
      <c r="O922" s="1"/>
      <c r="P922" s="6"/>
      <c r="Q922" s="6"/>
      <c r="R922" s="6"/>
      <c r="S922" s="6"/>
      <c r="T922" s="6"/>
      <c r="U922" s="6"/>
      <c r="V922" s="6"/>
      <c r="W922" s="6"/>
      <c r="X922" s="6"/>
      <c r="Y922" s="6"/>
      <c r="Z922" s="6"/>
      <c r="AA922" s="6"/>
      <c r="AB922" s="6"/>
      <c r="AC922" s="6"/>
      <c r="AD922" s="6"/>
    </row>
    <row r="923" spans="2:30" x14ac:dyDescent="0.25">
      <c r="B923" t="str">
        <f t="shared" si="38"/>
        <v/>
      </c>
      <c r="D923" s="1" t="str">
        <f t="shared" si="37"/>
        <v/>
      </c>
      <c r="E923" s="21"/>
      <c r="F923" s="7"/>
      <c r="G923" s="1"/>
      <c r="I923" s="1"/>
      <c r="N923" s="1"/>
      <c r="O923" s="1"/>
      <c r="P923" s="6"/>
      <c r="Q923" s="6"/>
      <c r="R923" s="6"/>
      <c r="S923" s="6"/>
      <c r="T923" s="6"/>
      <c r="U923" s="6"/>
      <c r="V923" s="6"/>
      <c r="W923" s="6"/>
      <c r="X923" s="6"/>
      <c r="Y923" s="6"/>
      <c r="Z923" s="6"/>
      <c r="AA923" s="6"/>
      <c r="AB923" s="6"/>
      <c r="AC923" s="6"/>
      <c r="AD923" s="6"/>
    </row>
    <row r="924" spans="2:30" x14ac:dyDescent="0.25">
      <c r="B924" t="str">
        <f t="shared" si="38"/>
        <v/>
      </c>
      <c r="D924" s="1" t="str">
        <f t="shared" si="37"/>
        <v/>
      </c>
      <c r="E924" s="21"/>
      <c r="F924" s="7"/>
      <c r="G924" s="1"/>
      <c r="I924" s="1"/>
      <c r="N924" s="1"/>
      <c r="O924" s="1"/>
      <c r="P924" s="6"/>
      <c r="Q924" s="6"/>
      <c r="R924" s="6"/>
      <c r="S924" s="6"/>
      <c r="T924" s="6"/>
      <c r="U924" s="6"/>
      <c r="V924" s="6"/>
      <c r="W924" s="6"/>
      <c r="X924" s="6"/>
      <c r="Y924" s="6"/>
      <c r="Z924" s="6"/>
      <c r="AA924" s="6"/>
      <c r="AB924" s="6"/>
      <c r="AC924" s="6"/>
      <c r="AD924" s="6"/>
    </row>
    <row r="925" spans="2:30" x14ac:dyDescent="0.25">
      <c r="B925" t="str">
        <f t="shared" si="38"/>
        <v/>
      </c>
      <c r="D925" s="1" t="str">
        <f t="shared" si="37"/>
        <v/>
      </c>
      <c r="E925" s="21"/>
      <c r="F925" s="7"/>
      <c r="G925" s="1"/>
      <c r="I925" s="1"/>
      <c r="N925" s="1"/>
      <c r="O925" s="1"/>
      <c r="P925" s="6"/>
      <c r="Q925" s="6"/>
      <c r="R925" s="6"/>
      <c r="S925" s="6"/>
      <c r="T925" s="6"/>
      <c r="U925" s="6"/>
      <c r="V925" s="6"/>
      <c r="W925" s="6"/>
      <c r="X925" s="6"/>
      <c r="Y925" s="6"/>
      <c r="Z925" s="6"/>
      <c r="AA925" s="6"/>
      <c r="AB925" s="6"/>
      <c r="AC925" s="6"/>
      <c r="AD925" s="6"/>
    </row>
    <row r="926" spans="2:30" x14ac:dyDescent="0.25">
      <c r="B926" t="str">
        <f t="shared" si="38"/>
        <v/>
      </c>
      <c r="D926" s="1" t="str">
        <f t="shared" si="37"/>
        <v/>
      </c>
      <c r="E926" s="21"/>
      <c r="F926" s="7"/>
      <c r="G926" s="1"/>
      <c r="I926" s="1"/>
      <c r="N926" s="1"/>
      <c r="O926" s="1"/>
      <c r="P926" s="6"/>
      <c r="Q926" s="6"/>
      <c r="R926" s="6"/>
      <c r="S926" s="6"/>
      <c r="T926" s="6"/>
      <c r="U926" s="6"/>
      <c r="V926" s="6"/>
      <c r="W926" s="6"/>
      <c r="X926" s="6"/>
      <c r="Y926" s="6"/>
      <c r="Z926" s="6"/>
      <c r="AA926" s="6"/>
      <c r="AB926" s="6"/>
      <c r="AC926" s="6"/>
      <c r="AD926" s="6"/>
    </row>
    <row r="927" spans="2:30" x14ac:dyDescent="0.25">
      <c r="B927" t="str">
        <f t="shared" si="38"/>
        <v/>
      </c>
      <c r="D927" s="1" t="str">
        <f t="shared" si="37"/>
        <v/>
      </c>
      <c r="E927" s="21"/>
      <c r="F927" s="7"/>
      <c r="G927" s="1"/>
      <c r="I927" s="1"/>
      <c r="N927" s="1"/>
      <c r="O927" s="1"/>
      <c r="P927" s="6"/>
      <c r="Q927" s="6"/>
      <c r="R927" s="6"/>
      <c r="S927" s="6"/>
      <c r="T927" s="6"/>
      <c r="U927" s="6"/>
      <c r="V927" s="6"/>
      <c r="W927" s="6"/>
      <c r="X927" s="6"/>
      <c r="Y927" s="6"/>
      <c r="Z927" s="6"/>
      <c r="AA927" s="6"/>
      <c r="AB927" s="6"/>
      <c r="AC927" s="6"/>
      <c r="AD927" s="6"/>
    </row>
    <row r="928" spans="2:30" x14ac:dyDescent="0.25">
      <c r="B928" t="str">
        <f t="shared" si="38"/>
        <v/>
      </c>
      <c r="D928" s="1" t="str">
        <f t="shared" si="37"/>
        <v/>
      </c>
      <c r="E928" s="21"/>
      <c r="F928" s="7"/>
      <c r="G928" s="1"/>
      <c r="I928" s="1"/>
      <c r="N928" s="1"/>
      <c r="O928" s="1"/>
      <c r="P928" s="6"/>
      <c r="Q928" s="6"/>
      <c r="R928" s="6"/>
      <c r="S928" s="6"/>
      <c r="T928" s="6"/>
      <c r="U928" s="6"/>
      <c r="V928" s="6"/>
      <c r="W928" s="6"/>
      <c r="X928" s="6"/>
      <c r="Y928" s="6"/>
      <c r="Z928" s="6"/>
      <c r="AA928" s="6"/>
      <c r="AB928" s="6"/>
      <c r="AC928" s="6"/>
      <c r="AD928" s="6"/>
    </row>
    <row r="929" spans="2:30" x14ac:dyDescent="0.25">
      <c r="B929" t="str">
        <f t="shared" si="38"/>
        <v/>
      </c>
      <c r="D929" s="1" t="str">
        <f t="shared" si="37"/>
        <v/>
      </c>
      <c r="E929" s="21"/>
      <c r="F929" s="7"/>
      <c r="G929" s="1"/>
      <c r="I929" s="1"/>
      <c r="N929" s="1"/>
      <c r="O929" s="1"/>
      <c r="P929" s="6"/>
      <c r="Q929" s="6"/>
      <c r="R929" s="6"/>
      <c r="S929" s="6"/>
      <c r="T929" s="6"/>
      <c r="U929" s="6"/>
      <c r="V929" s="6"/>
      <c r="W929" s="6"/>
      <c r="X929" s="6"/>
      <c r="Y929" s="6"/>
      <c r="Z929" s="6"/>
      <c r="AA929" s="6"/>
      <c r="AB929" s="6"/>
      <c r="AC929" s="6"/>
      <c r="AD929" s="6"/>
    </row>
    <row r="930" spans="2:30" x14ac:dyDescent="0.25">
      <c r="B930" t="str">
        <f t="shared" si="38"/>
        <v/>
      </c>
      <c r="D930" s="1" t="str">
        <f t="shared" si="37"/>
        <v/>
      </c>
      <c r="E930" s="21"/>
      <c r="F930" s="7"/>
      <c r="G930" s="1"/>
      <c r="I930" s="1"/>
      <c r="N930" s="1"/>
      <c r="O930" s="1"/>
      <c r="P930" s="6"/>
      <c r="Q930" s="6"/>
      <c r="R930" s="6"/>
      <c r="S930" s="6"/>
      <c r="T930" s="6"/>
      <c r="U930" s="6"/>
      <c r="V930" s="6"/>
      <c r="W930" s="6"/>
      <c r="X930" s="6"/>
      <c r="Y930" s="6"/>
      <c r="Z930" s="6"/>
      <c r="AA930" s="6"/>
      <c r="AB930" s="6"/>
      <c r="AC930" s="6"/>
      <c r="AD930" s="6"/>
    </row>
    <row r="931" spans="2:30" x14ac:dyDescent="0.25">
      <c r="B931" t="str">
        <f t="shared" si="38"/>
        <v/>
      </c>
      <c r="D931" s="1" t="str">
        <f t="shared" si="37"/>
        <v/>
      </c>
      <c r="E931" s="21"/>
      <c r="F931" s="7"/>
      <c r="G931" s="1"/>
      <c r="I931" s="1"/>
      <c r="N931" s="1"/>
      <c r="O931" s="1"/>
      <c r="P931" s="6"/>
      <c r="Q931" s="6"/>
      <c r="R931" s="6"/>
      <c r="S931" s="6"/>
      <c r="T931" s="6"/>
      <c r="U931" s="6"/>
      <c r="V931" s="6"/>
      <c r="W931" s="6"/>
      <c r="X931" s="6"/>
      <c r="Y931" s="6"/>
      <c r="Z931" s="6"/>
      <c r="AA931" s="6"/>
      <c r="AB931" s="6"/>
      <c r="AC931" s="6"/>
      <c r="AD931" s="6"/>
    </row>
    <row r="932" spans="2:30" x14ac:dyDescent="0.25">
      <c r="B932" t="str">
        <f t="shared" si="38"/>
        <v/>
      </c>
      <c r="D932" s="1" t="str">
        <f t="shared" si="37"/>
        <v/>
      </c>
      <c r="E932" s="21"/>
      <c r="F932" s="7"/>
      <c r="G932" s="1"/>
      <c r="I932" s="1"/>
      <c r="N932" s="1"/>
      <c r="O932" s="1"/>
      <c r="P932" s="6"/>
      <c r="Q932" s="6"/>
      <c r="R932" s="6"/>
      <c r="S932" s="6"/>
      <c r="T932" s="6"/>
      <c r="U932" s="6"/>
      <c r="V932" s="6"/>
      <c r="W932" s="6"/>
      <c r="X932" s="6"/>
      <c r="Y932" s="6"/>
      <c r="Z932" s="6"/>
      <c r="AA932" s="6"/>
      <c r="AB932" s="6"/>
      <c r="AC932" s="6"/>
      <c r="AD932" s="6"/>
    </row>
    <row r="933" spans="2:30" x14ac:dyDescent="0.25">
      <c r="B933" t="str">
        <f t="shared" si="38"/>
        <v/>
      </c>
      <c r="D933" s="1" t="str">
        <f t="shared" si="37"/>
        <v/>
      </c>
      <c r="E933" s="21"/>
      <c r="F933" s="7"/>
      <c r="G933" s="1"/>
      <c r="I933" s="1"/>
      <c r="N933" s="1"/>
      <c r="O933" s="1"/>
      <c r="P933" s="6"/>
      <c r="Q933" s="6"/>
      <c r="R933" s="6"/>
      <c r="S933" s="6"/>
      <c r="T933" s="6"/>
      <c r="U933" s="6"/>
      <c r="V933" s="6"/>
      <c r="W933" s="6"/>
      <c r="X933" s="6"/>
      <c r="Y933" s="6"/>
      <c r="Z933" s="6"/>
      <c r="AA933" s="6"/>
      <c r="AB933" s="6"/>
      <c r="AC933" s="6"/>
      <c r="AD933" s="6"/>
    </row>
    <row r="934" spans="2:30" x14ac:dyDescent="0.25">
      <c r="B934" t="str">
        <f t="shared" si="38"/>
        <v/>
      </c>
      <c r="D934" s="1" t="str">
        <f t="shared" si="37"/>
        <v/>
      </c>
      <c r="E934" s="21"/>
      <c r="F934" s="7"/>
      <c r="G934" s="1"/>
      <c r="I934" s="1"/>
      <c r="N934" s="1"/>
      <c r="O934" s="1"/>
      <c r="P934" s="6"/>
      <c r="Q934" s="6"/>
      <c r="R934" s="6"/>
      <c r="S934" s="6"/>
      <c r="T934" s="6"/>
      <c r="U934" s="6"/>
      <c r="V934" s="6"/>
      <c r="W934" s="6"/>
      <c r="X934" s="6"/>
      <c r="Y934" s="6"/>
      <c r="Z934" s="6"/>
      <c r="AA934" s="6"/>
      <c r="AB934" s="6"/>
      <c r="AC934" s="6"/>
      <c r="AD934" s="6"/>
    </row>
    <row r="935" spans="2:30" x14ac:dyDescent="0.25">
      <c r="B935" t="str">
        <f t="shared" si="38"/>
        <v/>
      </c>
      <c r="D935" s="1" t="str">
        <f t="shared" si="37"/>
        <v/>
      </c>
      <c r="E935" s="21"/>
      <c r="F935" s="7"/>
      <c r="G935" s="1"/>
      <c r="I935" s="1"/>
      <c r="N935" s="1"/>
      <c r="O935" s="1"/>
      <c r="P935" s="6"/>
      <c r="Q935" s="6"/>
      <c r="R935" s="6"/>
      <c r="S935" s="6"/>
      <c r="T935" s="6"/>
      <c r="U935" s="6"/>
      <c r="V935" s="6"/>
      <c r="W935" s="6"/>
      <c r="X935" s="6"/>
      <c r="Y935" s="6"/>
      <c r="Z935" s="6"/>
      <c r="AA935" s="6"/>
      <c r="AB935" s="6"/>
      <c r="AC935" s="6"/>
      <c r="AD935" s="6"/>
    </row>
    <row r="936" spans="2:30" x14ac:dyDescent="0.25">
      <c r="B936" t="str">
        <f t="shared" si="38"/>
        <v/>
      </c>
      <c r="D936" s="1" t="str">
        <f t="shared" si="37"/>
        <v/>
      </c>
      <c r="E936" s="21"/>
      <c r="F936" s="7"/>
      <c r="G936" s="1"/>
      <c r="I936" s="1"/>
      <c r="N936" s="1"/>
      <c r="O936" s="1"/>
      <c r="P936" s="6"/>
      <c r="Q936" s="6"/>
      <c r="R936" s="6"/>
      <c r="S936" s="6"/>
      <c r="T936" s="6"/>
      <c r="U936" s="6"/>
      <c r="V936" s="6"/>
      <c r="W936" s="6"/>
      <c r="X936" s="6"/>
      <c r="Y936" s="6"/>
      <c r="Z936" s="6"/>
      <c r="AA936" s="6"/>
      <c r="AB936" s="6"/>
      <c r="AC936" s="6"/>
      <c r="AD936" s="6"/>
    </row>
    <row r="937" spans="2:30" x14ac:dyDescent="0.25">
      <c r="B937" t="str">
        <f t="shared" si="38"/>
        <v/>
      </c>
      <c r="D937" s="1" t="str">
        <f t="shared" si="37"/>
        <v/>
      </c>
      <c r="E937" s="21"/>
      <c r="F937" s="7"/>
      <c r="G937" s="1"/>
      <c r="I937" s="1"/>
      <c r="N937" s="1"/>
      <c r="O937" s="1"/>
      <c r="P937" s="6"/>
      <c r="Q937" s="6"/>
      <c r="R937" s="6"/>
      <c r="S937" s="6"/>
      <c r="T937" s="6"/>
      <c r="U937" s="6"/>
      <c r="V937" s="6"/>
      <c r="W937" s="6"/>
      <c r="X937" s="6"/>
      <c r="Y937" s="6"/>
      <c r="Z937" s="6"/>
      <c r="AA937" s="6"/>
      <c r="AB937" s="6"/>
      <c r="AC937" s="6"/>
      <c r="AD937" s="6"/>
    </row>
    <row r="938" spans="2:30" x14ac:dyDescent="0.25">
      <c r="B938" t="str">
        <f t="shared" si="38"/>
        <v/>
      </c>
      <c r="D938" s="1" t="str">
        <f t="shared" si="37"/>
        <v/>
      </c>
      <c r="E938" s="21"/>
      <c r="F938" s="7"/>
      <c r="G938" s="1"/>
      <c r="I938" s="1"/>
      <c r="N938" s="1"/>
      <c r="O938" s="1"/>
      <c r="P938" s="6"/>
      <c r="Q938" s="6"/>
      <c r="R938" s="6"/>
      <c r="S938" s="6"/>
      <c r="T938" s="6"/>
      <c r="U938" s="6"/>
      <c r="V938" s="6"/>
      <c r="W938" s="6"/>
      <c r="X938" s="6"/>
      <c r="Y938" s="6"/>
      <c r="Z938" s="6"/>
      <c r="AA938" s="6"/>
      <c r="AB938" s="6"/>
      <c r="AC938" s="6"/>
      <c r="AD938" s="6"/>
    </row>
    <row r="939" spans="2:30" x14ac:dyDescent="0.25">
      <c r="B939" t="str">
        <f t="shared" si="38"/>
        <v/>
      </c>
      <c r="D939" s="1" t="str">
        <f t="shared" si="37"/>
        <v/>
      </c>
      <c r="E939" s="21"/>
      <c r="F939" s="7"/>
      <c r="G939" s="1"/>
      <c r="I939" s="1"/>
      <c r="N939" s="1"/>
      <c r="O939" s="1"/>
      <c r="P939" s="6"/>
      <c r="Q939" s="6"/>
      <c r="R939" s="6"/>
      <c r="S939" s="6"/>
      <c r="T939" s="6"/>
      <c r="U939" s="6"/>
      <c r="V939" s="6"/>
      <c r="W939" s="6"/>
      <c r="X939" s="6"/>
      <c r="Y939" s="6"/>
      <c r="Z939" s="6"/>
      <c r="AA939" s="6"/>
      <c r="AB939" s="6"/>
      <c r="AC939" s="6"/>
      <c r="AD939" s="6"/>
    </row>
    <row r="940" spans="2:30" x14ac:dyDescent="0.25">
      <c r="B940" t="str">
        <f t="shared" si="38"/>
        <v/>
      </c>
      <c r="D940" s="1" t="str">
        <f t="shared" si="37"/>
        <v/>
      </c>
      <c r="E940" s="21"/>
      <c r="F940" s="7"/>
      <c r="G940" s="1"/>
      <c r="I940" s="1"/>
      <c r="N940" s="1"/>
      <c r="O940" s="1"/>
      <c r="P940" s="6"/>
      <c r="Q940" s="6"/>
      <c r="R940" s="6"/>
      <c r="S940" s="6"/>
      <c r="T940" s="6"/>
      <c r="U940" s="6"/>
      <c r="V940" s="6"/>
      <c r="W940" s="6"/>
      <c r="X940" s="6"/>
      <c r="Y940" s="6"/>
      <c r="Z940" s="6"/>
      <c r="AA940" s="6"/>
      <c r="AB940" s="6"/>
      <c r="AC940" s="6"/>
      <c r="AD940" s="6"/>
    </row>
    <row r="941" spans="2:30" x14ac:dyDescent="0.25">
      <c r="B941" t="str">
        <f t="shared" si="38"/>
        <v/>
      </c>
      <c r="D941" s="1" t="str">
        <f t="shared" si="37"/>
        <v/>
      </c>
      <c r="E941" s="21"/>
      <c r="F941" s="7"/>
      <c r="G941" s="1"/>
      <c r="I941" s="1"/>
      <c r="N941" s="1"/>
      <c r="O941" s="1"/>
      <c r="P941" s="6"/>
      <c r="Q941" s="6"/>
      <c r="R941" s="6"/>
      <c r="S941" s="6"/>
      <c r="T941" s="6"/>
      <c r="U941" s="6"/>
      <c r="V941" s="6"/>
      <c r="W941" s="6"/>
      <c r="X941" s="6"/>
      <c r="Y941" s="6"/>
      <c r="Z941" s="6"/>
      <c r="AA941" s="6"/>
      <c r="AB941" s="6"/>
      <c r="AC941" s="6"/>
      <c r="AD941" s="6"/>
    </row>
    <row r="942" spans="2:30" x14ac:dyDescent="0.25">
      <c r="B942" t="str">
        <f t="shared" si="38"/>
        <v/>
      </c>
      <c r="D942" s="1" t="str">
        <f t="shared" si="37"/>
        <v/>
      </c>
      <c r="E942" s="21"/>
      <c r="F942" s="7"/>
      <c r="G942" s="1"/>
      <c r="I942" s="1"/>
      <c r="N942" s="1"/>
      <c r="O942" s="1"/>
      <c r="P942" s="6"/>
      <c r="Q942" s="6"/>
      <c r="R942" s="6"/>
      <c r="S942" s="6"/>
      <c r="T942" s="6"/>
      <c r="U942" s="6"/>
      <c r="V942" s="6"/>
      <c r="W942" s="6"/>
      <c r="X942" s="6"/>
      <c r="Y942" s="6"/>
      <c r="Z942" s="6"/>
      <c r="AA942" s="6"/>
      <c r="AB942" s="6"/>
      <c r="AC942" s="6"/>
      <c r="AD942" s="6"/>
    </row>
    <row r="943" spans="2:30" x14ac:dyDescent="0.25">
      <c r="B943" t="str">
        <f t="shared" si="38"/>
        <v/>
      </c>
      <c r="D943" s="1" t="str">
        <f t="shared" si="37"/>
        <v/>
      </c>
      <c r="E943" s="21"/>
      <c r="F943" s="7"/>
      <c r="G943" s="1"/>
      <c r="I943" s="1"/>
      <c r="N943" s="1"/>
      <c r="O943" s="1"/>
      <c r="P943" s="6"/>
      <c r="Q943" s="6"/>
      <c r="R943" s="6"/>
      <c r="S943" s="6"/>
      <c r="T943" s="6"/>
      <c r="U943" s="6"/>
      <c r="V943" s="6"/>
      <c r="W943" s="6"/>
      <c r="X943" s="6"/>
      <c r="Y943" s="6"/>
      <c r="Z943" s="6"/>
      <c r="AA943" s="6"/>
      <c r="AB943" s="6"/>
      <c r="AC943" s="6"/>
      <c r="AD943" s="6"/>
    </row>
    <row r="944" spans="2:30" x14ac:dyDescent="0.25">
      <c r="B944" t="str">
        <f t="shared" si="38"/>
        <v/>
      </c>
      <c r="D944" s="1" t="str">
        <f t="shared" si="37"/>
        <v/>
      </c>
      <c r="E944" s="21"/>
      <c r="F944" s="7"/>
      <c r="G944" s="1"/>
      <c r="I944" s="1"/>
      <c r="N944" s="1"/>
      <c r="O944" s="1"/>
      <c r="P944" s="6"/>
      <c r="Q944" s="6"/>
      <c r="R944" s="6"/>
      <c r="S944" s="6"/>
      <c r="T944" s="6"/>
      <c r="U944" s="6"/>
      <c r="V944" s="6"/>
      <c r="W944" s="6"/>
      <c r="X944" s="6"/>
      <c r="Y944" s="6"/>
      <c r="Z944" s="6"/>
      <c r="AA944" s="6"/>
      <c r="AB944" s="6"/>
      <c r="AC944" s="6"/>
      <c r="AD944" s="6"/>
    </row>
    <row r="945" spans="2:30" x14ac:dyDescent="0.25">
      <c r="B945" t="str">
        <f t="shared" si="38"/>
        <v/>
      </c>
      <c r="D945" s="1" t="str">
        <f t="shared" si="37"/>
        <v/>
      </c>
      <c r="E945" s="21"/>
      <c r="F945" s="7"/>
      <c r="G945" s="1"/>
      <c r="I945" s="1"/>
      <c r="N945" s="1"/>
      <c r="O945" s="1"/>
      <c r="P945" s="6"/>
      <c r="Q945" s="6"/>
      <c r="R945" s="6"/>
      <c r="S945" s="6"/>
      <c r="T945" s="6"/>
      <c r="U945" s="6"/>
      <c r="V945" s="6"/>
      <c r="W945" s="6"/>
      <c r="X945" s="6"/>
      <c r="Y945" s="6"/>
      <c r="Z945" s="6"/>
      <c r="AA945" s="6"/>
      <c r="AB945" s="6"/>
      <c r="AC945" s="6"/>
      <c r="AD945" s="6"/>
    </row>
    <row r="946" spans="2:30" x14ac:dyDescent="0.25">
      <c r="B946" t="str">
        <f t="shared" si="38"/>
        <v/>
      </c>
      <c r="D946" s="1" t="str">
        <f t="shared" si="37"/>
        <v/>
      </c>
      <c r="E946" s="21"/>
      <c r="F946" s="7"/>
      <c r="G946" s="1"/>
      <c r="I946" s="1"/>
      <c r="N946" s="1"/>
      <c r="O946" s="1"/>
      <c r="P946" s="6"/>
      <c r="Q946" s="6"/>
      <c r="R946" s="6"/>
      <c r="S946" s="6"/>
      <c r="T946" s="6"/>
      <c r="U946" s="6"/>
      <c r="V946" s="6"/>
      <c r="W946" s="6"/>
      <c r="X946" s="6"/>
      <c r="Y946" s="6"/>
      <c r="Z946" s="6"/>
      <c r="AA946" s="6"/>
      <c r="AB946" s="6"/>
      <c r="AC946" s="6"/>
      <c r="AD946" s="6"/>
    </row>
    <row r="947" spans="2:30" x14ac:dyDescent="0.25">
      <c r="B947" t="str">
        <f t="shared" si="38"/>
        <v/>
      </c>
      <c r="D947" s="1" t="str">
        <f t="shared" si="37"/>
        <v/>
      </c>
      <c r="E947" s="21"/>
      <c r="F947" s="7"/>
      <c r="G947" s="1"/>
      <c r="I947" s="1"/>
      <c r="N947" s="1"/>
      <c r="O947" s="1"/>
      <c r="P947" s="6"/>
      <c r="Q947" s="6"/>
      <c r="R947" s="6"/>
      <c r="S947" s="6"/>
      <c r="T947" s="6"/>
      <c r="U947" s="6"/>
      <c r="V947" s="6"/>
      <c r="W947" s="6"/>
      <c r="X947" s="6"/>
      <c r="Y947" s="6"/>
      <c r="Z947" s="6"/>
      <c r="AA947" s="6"/>
      <c r="AB947" s="6"/>
      <c r="AC947" s="6"/>
      <c r="AD947" s="6"/>
    </row>
    <row r="948" spans="2:30" x14ac:dyDescent="0.25">
      <c r="B948" t="str">
        <f t="shared" si="38"/>
        <v/>
      </c>
      <c r="D948" s="1" t="str">
        <f t="shared" si="37"/>
        <v/>
      </c>
      <c r="E948" s="21"/>
      <c r="F948" s="7"/>
      <c r="G948" s="1"/>
      <c r="I948" s="1"/>
      <c r="N948" s="1"/>
      <c r="O948" s="1"/>
      <c r="P948" s="6"/>
      <c r="Q948" s="6"/>
      <c r="R948" s="6"/>
      <c r="S948" s="6"/>
      <c r="T948" s="6"/>
      <c r="U948" s="6"/>
      <c r="V948" s="6"/>
      <c r="W948" s="6"/>
      <c r="X948" s="6"/>
      <c r="Y948" s="6"/>
      <c r="Z948" s="6"/>
      <c r="AA948" s="6"/>
      <c r="AB948" s="6"/>
      <c r="AC948" s="6"/>
      <c r="AD948" s="6"/>
    </row>
    <row r="949" spans="2:30" x14ac:dyDescent="0.25">
      <c r="B949" t="str">
        <f t="shared" si="38"/>
        <v/>
      </c>
      <c r="D949" s="1" t="str">
        <f t="shared" si="37"/>
        <v/>
      </c>
      <c r="E949" s="21"/>
      <c r="F949" s="7"/>
      <c r="G949" s="1"/>
      <c r="I949" s="1"/>
      <c r="N949" s="1"/>
      <c r="O949" s="1"/>
      <c r="P949" s="6"/>
      <c r="Q949" s="6"/>
      <c r="R949" s="6"/>
      <c r="S949" s="6"/>
      <c r="T949" s="6"/>
      <c r="U949" s="6"/>
      <c r="V949" s="6"/>
      <c r="W949" s="6"/>
      <c r="X949" s="6"/>
      <c r="Y949" s="6"/>
      <c r="Z949" s="6"/>
      <c r="AA949" s="6"/>
      <c r="AB949" s="6"/>
      <c r="AC949" s="6"/>
      <c r="AD949" s="6"/>
    </row>
    <row r="950" spans="2:30" x14ac:dyDescent="0.25">
      <c r="B950" t="str">
        <f t="shared" si="38"/>
        <v/>
      </c>
      <c r="D950" s="1" t="str">
        <f t="shared" si="37"/>
        <v/>
      </c>
      <c r="E950" s="21"/>
      <c r="F950" s="7"/>
      <c r="G950" s="1"/>
      <c r="I950" s="1"/>
      <c r="N950" s="1"/>
      <c r="O950" s="1"/>
      <c r="P950" s="6"/>
      <c r="Q950" s="6"/>
      <c r="R950" s="6"/>
      <c r="S950" s="6"/>
      <c r="T950" s="6"/>
      <c r="U950" s="6"/>
      <c r="V950" s="6"/>
      <c r="W950" s="6"/>
      <c r="X950" s="6"/>
      <c r="Y950" s="6"/>
      <c r="Z950" s="6"/>
      <c r="AA950" s="6"/>
      <c r="AB950" s="6"/>
      <c r="AC950" s="6"/>
      <c r="AD950" s="6"/>
    </row>
    <row r="951" spans="2:30" x14ac:dyDescent="0.25">
      <c r="B951" t="str">
        <f t="shared" si="38"/>
        <v/>
      </c>
      <c r="D951" s="1" t="str">
        <f t="shared" si="37"/>
        <v/>
      </c>
      <c r="E951" s="21"/>
      <c r="F951" s="7"/>
      <c r="G951" s="1"/>
      <c r="I951" s="1"/>
      <c r="N951" s="1"/>
      <c r="O951" s="1"/>
      <c r="P951" s="6"/>
      <c r="Q951" s="6"/>
      <c r="R951" s="6"/>
      <c r="S951" s="6"/>
      <c r="T951" s="6"/>
      <c r="U951" s="6"/>
      <c r="V951" s="6"/>
      <c r="W951" s="6"/>
      <c r="X951" s="6"/>
      <c r="Y951" s="6"/>
      <c r="Z951" s="6"/>
      <c r="AA951" s="6"/>
      <c r="AB951" s="6"/>
      <c r="AC951" s="6"/>
      <c r="AD951" s="6"/>
    </row>
    <row r="952" spans="2:30" x14ac:dyDescent="0.25">
      <c r="B952" t="str">
        <f t="shared" si="38"/>
        <v/>
      </c>
      <c r="D952" s="1" t="str">
        <f t="shared" si="37"/>
        <v/>
      </c>
      <c r="E952" s="21"/>
      <c r="F952" s="7"/>
      <c r="G952" s="1"/>
      <c r="I952" s="1"/>
      <c r="N952" s="1"/>
      <c r="O952" s="1"/>
      <c r="P952" s="6"/>
      <c r="Q952" s="6"/>
      <c r="R952" s="6"/>
      <c r="S952" s="6"/>
      <c r="T952" s="6"/>
      <c r="U952" s="6"/>
      <c r="V952" s="6"/>
      <c r="W952" s="6"/>
      <c r="X952" s="6"/>
      <c r="Y952" s="6"/>
      <c r="Z952" s="6"/>
      <c r="AA952" s="6"/>
      <c r="AB952" s="6"/>
      <c r="AC952" s="6"/>
      <c r="AD952" s="6"/>
    </row>
    <row r="953" spans="2:30" x14ac:dyDescent="0.25">
      <c r="B953" t="str">
        <f t="shared" si="38"/>
        <v/>
      </c>
      <c r="D953" s="1" t="str">
        <f t="shared" si="37"/>
        <v/>
      </c>
      <c r="E953" s="21"/>
      <c r="F953" s="7"/>
      <c r="G953" s="1"/>
      <c r="I953" s="1"/>
      <c r="N953" s="1"/>
      <c r="O953" s="1"/>
      <c r="P953" s="6"/>
      <c r="Q953" s="6"/>
      <c r="R953" s="6"/>
      <c r="S953" s="6"/>
      <c r="T953" s="6"/>
      <c r="U953" s="6"/>
      <c r="V953" s="6"/>
      <c r="W953" s="6"/>
      <c r="X953" s="6"/>
      <c r="Y953" s="6"/>
      <c r="Z953" s="6"/>
      <c r="AA953" s="6"/>
      <c r="AB953" s="6"/>
      <c r="AC953" s="6"/>
      <c r="AD953" s="6"/>
    </row>
    <row r="954" spans="2:30" x14ac:dyDescent="0.25">
      <c r="B954" t="str">
        <f t="shared" si="38"/>
        <v/>
      </c>
      <c r="D954" s="1" t="str">
        <f t="shared" si="37"/>
        <v/>
      </c>
      <c r="E954" s="21"/>
      <c r="F954" s="7"/>
      <c r="G954" s="1"/>
      <c r="I954" s="1"/>
      <c r="N954" s="1"/>
      <c r="O954" s="1"/>
      <c r="P954" s="6"/>
      <c r="Q954" s="6"/>
      <c r="R954" s="6"/>
      <c r="S954" s="6"/>
      <c r="T954" s="6"/>
      <c r="U954" s="6"/>
      <c r="V954" s="6"/>
      <c r="W954" s="6"/>
      <c r="X954" s="6"/>
      <c r="Y954" s="6"/>
      <c r="Z954" s="6"/>
      <c r="AA954" s="6"/>
      <c r="AB954" s="6"/>
      <c r="AC954" s="6"/>
      <c r="AD954" s="6"/>
    </row>
    <row r="955" spans="2:30" x14ac:dyDescent="0.25">
      <c r="B955" t="str">
        <f t="shared" si="38"/>
        <v/>
      </c>
      <c r="D955" s="1" t="str">
        <f t="shared" si="37"/>
        <v/>
      </c>
      <c r="E955" s="21"/>
      <c r="F955" s="7"/>
      <c r="G955" s="1"/>
      <c r="I955" s="1"/>
      <c r="N955" s="1"/>
      <c r="O955" s="1"/>
      <c r="P955" s="6"/>
      <c r="Q955" s="6"/>
      <c r="R955" s="6"/>
      <c r="S955" s="6"/>
      <c r="T955" s="6"/>
      <c r="U955" s="6"/>
      <c r="V955" s="6"/>
      <c r="W955" s="6"/>
      <c r="X955" s="6"/>
      <c r="Y955" s="6"/>
      <c r="Z955" s="6"/>
      <c r="AA955" s="6"/>
      <c r="AB955" s="6"/>
      <c r="AC955" s="6"/>
      <c r="AD955" s="6"/>
    </row>
    <row r="956" spans="2:30" x14ac:dyDescent="0.25">
      <c r="B956" t="str">
        <f t="shared" si="38"/>
        <v/>
      </c>
      <c r="D956" s="1" t="str">
        <f t="shared" si="37"/>
        <v/>
      </c>
      <c r="E956" s="21"/>
      <c r="F956" s="7"/>
      <c r="G956" s="1"/>
      <c r="I956" s="1"/>
      <c r="N956" s="1"/>
      <c r="O956" s="1"/>
      <c r="P956" s="6"/>
      <c r="Q956" s="6"/>
      <c r="R956" s="6"/>
      <c r="S956" s="6"/>
      <c r="T956" s="6"/>
      <c r="U956" s="6"/>
      <c r="V956" s="6"/>
      <c r="W956" s="6"/>
      <c r="X956" s="6"/>
      <c r="Y956" s="6"/>
      <c r="Z956" s="6"/>
      <c r="AA956" s="6"/>
      <c r="AB956" s="6"/>
      <c r="AC956" s="6"/>
      <c r="AD956" s="6"/>
    </row>
    <row r="957" spans="2:30" x14ac:dyDescent="0.25">
      <c r="B957" t="str">
        <f t="shared" si="38"/>
        <v/>
      </c>
      <c r="D957" s="1" t="str">
        <f t="shared" si="37"/>
        <v/>
      </c>
      <c r="E957" s="21"/>
      <c r="F957" s="7"/>
      <c r="G957" s="1"/>
      <c r="I957" s="1"/>
      <c r="N957" s="1"/>
      <c r="O957" s="1"/>
      <c r="P957" s="6"/>
      <c r="Q957" s="6"/>
      <c r="R957" s="6"/>
      <c r="S957" s="6"/>
      <c r="T957" s="6"/>
      <c r="U957" s="6"/>
      <c r="V957" s="6"/>
      <c r="W957" s="6"/>
      <c r="X957" s="6"/>
      <c r="Y957" s="6"/>
      <c r="Z957" s="6"/>
      <c r="AA957" s="6"/>
      <c r="AB957" s="6"/>
      <c r="AC957" s="6"/>
      <c r="AD957" s="6"/>
    </row>
    <row r="958" spans="2:30" x14ac:dyDescent="0.25">
      <c r="B958" t="str">
        <f t="shared" si="38"/>
        <v/>
      </c>
      <c r="D958" s="1" t="str">
        <f t="shared" si="37"/>
        <v/>
      </c>
      <c r="E958" s="21"/>
      <c r="F958" s="7"/>
      <c r="G958" s="1"/>
      <c r="I958" s="1"/>
      <c r="N958" s="1"/>
      <c r="O958" s="1"/>
      <c r="P958" s="6"/>
      <c r="Q958" s="6"/>
      <c r="R958" s="6"/>
      <c r="S958" s="6"/>
      <c r="T958" s="6"/>
      <c r="U958" s="6"/>
      <c r="V958" s="6"/>
      <c r="W958" s="6"/>
      <c r="X958" s="6"/>
      <c r="Y958" s="6"/>
      <c r="Z958" s="6"/>
      <c r="AA958" s="6"/>
      <c r="AB958" s="6"/>
      <c r="AC958" s="6"/>
      <c r="AD958" s="6"/>
    </row>
    <row r="959" spans="2:30" x14ac:dyDescent="0.25">
      <c r="B959" t="str">
        <f t="shared" si="38"/>
        <v/>
      </c>
      <c r="D959" s="1" t="str">
        <f t="shared" si="37"/>
        <v/>
      </c>
      <c r="E959" s="21"/>
      <c r="F959" s="7"/>
      <c r="G959" s="1"/>
      <c r="I959" s="1"/>
      <c r="N959" s="1"/>
      <c r="O959" s="1"/>
      <c r="P959" s="6"/>
      <c r="Q959" s="6"/>
      <c r="R959" s="6"/>
      <c r="S959" s="6"/>
      <c r="T959" s="6"/>
      <c r="U959" s="6"/>
      <c r="V959" s="6"/>
      <c r="W959" s="6"/>
      <c r="X959" s="6"/>
      <c r="Y959" s="6"/>
      <c r="Z959" s="6"/>
      <c r="AA959" s="6"/>
      <c r="AB959" s="6"/>
      <c r="AC959" s="6"/>
      <c r="AD959" s="6"/>
    </row>
    <row r="960" spans="2:30" x14ac:dyDescent="0.25">
      <c r="B960" t="str">
        <f t="shared" si="38"/>
        <v/>
      </c>
      <c r="D960" s="1" t="str">
        <f t="shared" si="37"/>
        <v/>
      </c>
      <c r="E960" s="21"/>
      <c r="F960" s="7"/>
      <c r="G960" s="1"/>
      <c r="I960" s="1"/>
      <c r="N960" s="1"/>
      <c r="O960" s="1"/>
      <c r="P960" s="6"/>
      <c r="Q960" s="6"/>
      <c r="R960" s="6"/>
      <c r="S960" s="6"/>
      <c r="T960" s="6"/>
      <c r="U960" s="6"/>
      <c r="V960" s="6"/>
      <c r="W960" s="6"/>
      <c r="X960" s="6"/>
      <c r="Y960" s="6"/>
      <c r="Z960" s="6"/>
      <c r="AA960" s="6"/>
      <c r="AB960" s="6"/>
      <c r="AC960" s="6"/>
      <c r="AD960" s="6"/>
    </row>
    <row r="961" spans="2:30" x14ac:dyDescent="0.25">
      <c r="B961" t="str">
        <f t="shared" si="38"/>
        <v/>
      </c>
      <c r="D961" s="1" t="str">
        <f t="shared" si="37"/>
        <v/>
      </c>
      <c r="E961" s="21"/>
      <c r="F961" s="7"/>
      <c r="G961" s="1"/>
      <c r="I961" s="1"/>
      <c r="N961" s="1"/>
      <c r="O961" s="1"/>
      <c r="P961" s="6"/>
      <c r="Q961" s="6"/>
      <c r="R961" s="6"/>
      <c r="S961" s="6"/>
      <c r="T961" s="6"/>
      <c r="U961" s="6"/>
      <c r="V961" s="6"/>
      <c r="W961" s="6"/>
      <c r="X961" s="6"/>
      <c r="Y961" s="6"/>
      <c r="Z961" s="6"/>
      <c r="AA961" s="6"/>
      <c r="AB961" s="6"/>
      <c r="AC961" s="6"/>
      <c r="AD961" s="6"/>
    </row>
    <row r="962" spans="2:30" x14ac:dyDescent="0.25">
      <c r="B962" t="str">
        <f t="shared" si="38"/>
        <v/>
      </c>
      <c r="D962" s="1" t="str">
        <f t="shared" si="37"/>
        <v/>
      </c>
      <c r="E962" s="21"/>
      <c r="F962" s="7"/>
      <c r="G962" s="1"/>
      <c r="I962" s="1"/>
      <c r="N962" s="1"/>
      <c r="O962" s="1"/>
      <c r="P962" s="6"/>
      <c r="Q962" s="6"/>
      <c r="R962" s="6"/>
      <c r="S962" s="6"/>
      <c r="T962" s="6"/>
      <c r="U962" s="6"/>
      <c r="V962" s="6"/>
      <c r="W962" s="6"/>
      <c r="X962" s="6"/>
      <c r="Y962" s="6"/>
      <c r="Z962" s="6"/>
      <c r="AA962" s="6"/>
      <c r="AB962" s="6"/>
      <c r="AC962" s="6"/>
      <c r="AD962" s="6"/>
    </row>
    <row r="963" spans="2:30" x14ac:dyDescent="0.25">
      <c r="B963" t="str">
        <f t="shared" si="38"/>
        <v/>
      </c>
      <c r="D963" s="1" t="str">
        <f t="shared" ref="D963:D999" si="39">IF(C963=0,"",TEXT($C963,"dddd"))</f>
        <v/>
      </c>
      <c r="E963" s="21"/>
      <c r="F963" s="7"/>
      <c r="G963" s="1"/>
      <c r="I963" s="1"/>
      <c r="N963" s="1"/>
      <c r="O963" s="1"/>
      <c r="P963" s="6"/>
      <c r="Q963" s="6"/>
      <c r="R963" s="6"/>
      <c r="S963" s="6"/>
      <c r="T963" s="6"/>
      <c r="U963" s="6"/>
      <c r="V963" s="6"/>
      <c r="W963" s="6"/>
      <c r="X963" s="6"/>
      <c r="Y963" s="6"/>
      <c r="Z963" s="6"/>
      <c r="AA963" s="6"/>
      <c r="AB963" s="6"/>
      <c r="AC963" s="6"/>
      <c r="AD963" s="6"/>
    </row>
    <row r="964" spans="2:30" x14ac:dyDescent="0.25">
      <c r="B964" t="str">
        <f t="shared" si="38"/>
        <v/>
      </c>
      <c r="D964" s="1" t="str">
        <f t="shared" si="39"/>
        <v/>
      </c>
      <c r="E964" s="21"/>
      <c r="F964" s="7"/>
      <c r="G964" s="1"/>
      <c r="I964" s="1"/>
      <c r="N964" s="1"/>
      <c r="O964" s="1"/>
      <c r="P964" s="6"/>
      <c r="Q964" s="6"/>
      <c r="R964" s="6"/>
      <c r="S964" s="6"/>
      <c r="T964" s="6"/>
      <c r="U964" s="6"/>
      <c r="V964" s="6"/>
      <c r="W964" s="6"/>
      <c r="X964" s="6"/>
      <c r="Y964" s="6"/>
      <c r="Z964" s="6"/>
      <c r="AA964" s="6"/>
      <c r="AB964" s="6"/>
      <c r="AC964" s="6"/>
      <c r="AD964" s="6"/>
    </row>
    <row r="965" spans="2:30" x14ac:dyDescent="0.25">
      <c r="B965" t="str">
        <f t="shared" si="38"/>
        <v/>
      </c>
      <c r="D965" s="1" t="str">
        <f t="shared" si="39"/>
        <v/>
      </c>
      <c r="E965" s="21"/>
      <c r="F965" s="7"/>
      <c r="G965" s="1"/>
      <c r="I965" s="1"/>
      <c r="N965" s="1"/>
      <c r="O965" s="1"/>
      <c r="P965" s="6"/>
      <c r="Q965" s="6"/>
      <c r="R965" s="6"/>
      <c r="S965" s="6"/>
      <c r="T965" s="6"/>
      <c r="U965" s="6"/>
      <c r="V965" s="6"/>
      <c r="W965" s="6"/>
      <c r="X965" s="6"/>
      <c r="Y965" s="6"/>
      <c r="Z965" s="6"/>
      <c r="AA965" s="6"/>
      <c r="AB965" s="6"/>
      <c r="AC965" s="6"/>
      <c r="AD965" s="6"/>
    </row>
    <row r="966" spans="2:30" x14ac:dyDescent="0.25">
      <c r="B966" t="str">
        <f t="shared" si="38"/>
        <v/>
      </c>
      <c r="D966" s="1" t="str">
        <f t="shared" si="39"/>
        <v/>
      </c>
      <c r="E966" s="21"/>
      <c r="F966" s="7"/>
      <c r="G966" s="1"/>
      <c r="I966" s="1"/>
      <c r="N966" s="1"/>
      <c r="O966" s="1"/>
      <c r="P966" s="6"/>
      <c r="Q966" s="6"/>
      <c r="R966" s="6"/>
      <c r="S966" s="6"/>
      <c r="T966" s="6"/>
      <c r="U966" s="6"/>
      <c r="V966" s="6"/>
      <c r="W966" s="6"/>
      <c r="X966" s="6"/>
      <c r="Y966" s="6"/>
      <c r="Z966" s="6"/>
      <c r="AA966" s="6"/>
      <c r="AB966" s="6"/>
      <c r="AC966" s="6"/>
      <c r="AD966" s="6"/>
    </row>
    <row r="967" spans="2:30" x14ac:dyDescent="0.25">
      <c r="B967" t="str">
        <f t="shared" si="38"/>
        <v/>
      </c>
      <c r="D967" s="1" t="str">
        <f t="shared" si="39"/>
        <v/>
      </c>
      <c r="E967" s="21"/>
      <c r="F967" s="7"/>
      <c r="G967" s="1"/>
      <c r="I967" s="1"/>
      <c r="N967" s="1"/>
      <c r="O967" s="1"/>
      <c r="P967" s="6"/>
      <c r="Q967" s="6"/>
      <c r="R967" s="6"/>
      <c r="S967" s="6"/>
      <c r="T967" s="6"/>
      <c r="U967" s="6"/>
      <c r="V967" s="6"/>
      <c r="W967" s="6"/>
      <c r="X967" s="6"/>
      <c r="Y967" s="6"/>
      <c r="Z967" s="6"/>
      <c r="AA967" s="6"/>
      <c r="AB967" s="6"/>
      <c r="AC967" s="6"/>
      <c r="AD967" s="6"/>
    </row>
    <row r="968" spans="2:30" x14ac:dyDescent="0.25">
      <c r="B968" t="str">
        <f t="shared" si="38"/>
        <v/>
      </c>
      <c r="D968" s="1" t="str">
        <f t="shared" si="39"/>
        <v/>
      </c>
      <c r="E968" s="21"/>
      <c r="F968" s="7"/>
      <c r="G968" s="1"/>
      <c r="I968" s="1"/>
      <c r="N968" s="1"/>
      <c r="O968" s="1"/>
      <c r="P968" s="6"/>
      <c r="Q968" s="6"/>
      <c r="R968" s="6"/>
      <c r="S968" s="6"/>
      <c r="T968" s="6"/>
      <c r="U968" s="6"/>
      <c r="V968" s="6"/>
      <c r="W968" s="6"/>
      <c r="X968" s="6"/>
      <c r="Y968" s="6"/>
      <c r="Z968" s="6"/>
      <c r="AA968" s="6"/>
      <c r="AB968" s="6"/>
      <c r="AC968" s="6"/>
      <c r="AD968" s="6"/>
    </row>
    <row r="969" spans="2:30" x14ac:dyDescent="0.25">
      <c r="B969" t="str">
        <f t="shared" si="38"/>
        <v/>
      </c>
      <c r="D969" s="1" t="str">
        <f t="shared" si="39"/>
        <v/>
      </c>
      <c r="E969" s="21"/>
      <c r="F969" s="7"/>
      <c r="G969" s="1"/>
      <c r="I969" s="1"/>
      <c r="N969" s="1"/>
      <c r="O969" s="1"/>
      <c r="P969" s="6"/>
      <c r="Q969" s="6"/>
      <c r="R969" s="6"/>
      <c r="S969" s="6"/>
      <c r="T969" s="6"/>
      <c r="U969" s="6"/>
      <c r="V969" s="6"/>
      <c r="W969" s="6"/>
      <c r="X969" s="6"/>
      <c r="Y969" s="6"/>
      <c r="Z969" s="6"/>
      <c r="AA969" s="6"/>
      <c r="AB969" s="6"/>
      <c r="AC969" s="6"/>
      <c r="AD969" s="6"/>
    </row>
    <row r="970" spans="2:30" x14ac:dyDescent="0.25">
      <c r="B970" t="str">
        <f t="shared" si="38"/>
        <v/>
      </c>
      <c r="D970" s="1" t="str">
        <f t="shared" si="39"/>
        <v/>
      </c>
      <c r="E970" s="21"/>
      <c r="F970" s="7"/>
      <c r="G970" s="1"/>
      <c r="I970" s="1"/>
      <c r="N970" s="1"/>
      <c r="O970" s="1"/>
      <c r="P970" s="6"/>
      <c r="Q970" s="6"/>
      <c r="R970" s="6"/>
      <c r="S970" s="6"/>
      <c r="T970" s="6"/>
      <c r="U970" s="6"/>
      <c r="V970" s="6"/>
      <c r="W970" s="6"/>
      <c r="X970" s="6"/>
      <c r="Y970" s="6"/>
      <c r="Z970" s="6"/>
      <c r="AA970" s="6"/>
      <c r="AB970" s="6"/>
      <c r="AC970" s="6"/>
      <c r="AD970" s="6"/>
    </row>
    <row r="971" spans="2:30" x14ac:dyDescent="0.25">
      <c r="B971" t="str">
        <f t="shared" si="38"/>
        <v/>
      </c>
      <c r="D971" s="1" t="str">
        <f t="shared" si="39"/>
        <v/>
      </c>
      <c r="E971" s="21"/>
      <c r="F971" s="7"/>
      <c r="G971" s="1"/>
      <c r="I971" s="1"/>
      <c r="N971" s="1"/>
      <c r="O971" s="1"/>
      <c r="P971" s="6"/>
      <c r="Q971" s="6"/>
      <c r="R971" s="6"/>
      <c r="S971" s="6"/>
      <c r="T971" s="6"/>
      <c r="U971" s="6"/>
      <c r="V971" s="6"/>
      <c r="W971" s="6"/>
      <c r="X971" s="6"/>
      <c r="Y971" s="6"/>
      <c r="Z971" s="6"/>
      <c r="AA971" s="6"/>
      <c r="AB971" s="6"/>
      <c r="AC971" s="6"/>
      <c r="AD971" s="6"/>
    </row>
    <row r="972" spans="2:30" x14ac:dyDescent="0.25">
      <c r="B972" t="str">
        <f t="shared" si="38"/>
        <v/>
      </c>
      <c r="D972" s="1" t="str">
        <f t="shared" si="39"/>
        <v/>
      </c>
      <c r="E972" s="21"/>
      <c r="F972" s="7"/>
      <c r="G972" s="1"/>
      <c r="I972" s="1"/>
      <c r="N972" s="1"/>
      <c r="O972" s="1"/>
      <c r="P972" s="6"/>
      <c r="Q972" s="6"/>
      <c r="R972" s="6"/>
      <c r="S972" s="6"/>
      <c r="T972" s="6"/>
      <c r="U972" s="6"/>
      <c r="V972" s="6"/>
      <c r="W972" s="6"/>
      <c r="X972" s="6"/>
      <c r="Y972" s="6"/>
      <c r="Z972" s="6"/>
      <c r="AA972" s="6"/>
      <c r="AB972" s="6"/>
      <c r="AC972" s="6"/>
      <c r="AD972" s="6"/>
    </row>
    <row r="973" spans="2:30" x14ac:dyDescent="0.25">
      <c r="B973" t="str">
        <f t="shared" ref="B973:B999" si="40">IF($B$2=0,"",TEXT($B$2,""))</f>
        <v/>
      </c>
      <c r="D973" s="1" t="str">
        <f t="shared" si="39"/>
        <v/>
      </c>
      <c r="E973" s="21"/>
      <c r="F973" s="7"/>
      <c r="G973" s="1"/>
      <c r="I973" s="1"/>
      <c r="N973" s="1"/>
      <c r="O973" s="1"/>
      <c r="P973" s="6"/>
      <c r="Q973" s="6"/>
      <c r="R973" s="6"/>
      <c r="S973" s="6"/>
      <c r="T973" s="6"/>
      <c r="U973" s="6"/>
      <c r="V973" s="6"/>
      <c r="W973" s="6"/>
      <c r="X973" s="6"/>
      <c r="Y973" s="6"/>
      <c r="Z973" s="6"/>
      <c r="AA973" s="6"/>
      <c r="AB973" s="6"/>
      <c r="AC973" s="6"/>
      <c r="AD973" s="6"/>
    </row>
    <row r="974" spans="2:30" x14ac:dyDescent="0.25">
      <c r="B974" t="str">
        <f t="shared" si="40"/>
        <v/>
      </c>
      <c r="D974" s="1" t="str">
        <f t="shared" si="39"/>
        <v/>
      </c>
      <c r="E974" s="21"/>
      <c r="F974" s="7"/>
      <c r="G974" s="1"/>
      <c r="I974" s="1"/>
      <c r="N974" s="1"/>
      <c r="O974" s="1"/>
      <c r="P974" s="6"/>
      <c r="Q974" s="6"/>
      <c r="R974" s="6"/>
      <c r="S974" s="6"/>
      <c r="T974" s="6"/>
      <c r="U974" s="6"/>
      <c r="V974" s="6"/>
      <c r="W974" s="6"/>
      <c r="X974" s="6"/>
      <c r="Y974" s="6"/>
      <c r="Z974" s="6"/>
      <c r="AA974" s="6"/>
      <c r="AB974" s="6"/>
      <c r="AC974" s="6"/>
      <c r="AD974" s="6"/>
    </row>
    <row r="975" spans="2:30" x14ac:dyDescent="0.25">
      <c r="B975" t="str">
        <f t="shared" si="40"/>
        <v/>
      </c>
      <c r="D975" s="1" t="str">
        <f t="shared" si="39"/>
        <v/>
      </c>
      <c r="E975" s="21"/>
      <c r="F975" s="7"/>
      <c r="G975" s="1"/>
      <c r="I975" s="1"/>
      <c r="N975" s="1"/>
      <c r="O975" s="1"/>
      <c r="P975" s="6"/>
      <c r="Q975" s="6"/>
      <c r="R975" s="6"/>
      <c r="S975" s="6"/>
      <c r="T975" s="6"/>
      <c r="U975" s="6"/>
      <c r="V975" s="6"/>
      <c r="W975" s="6"/>
      <c r="X975" s="6"/>
      <c r="Y975" s="6"/>
      <c r="Z975" s="6"/>
      <c r="AA975" s="6"/>
      <c r="AB975" s="6"/>
      <c r="AC975" s="6"/>
      <c r="AD975" s="6"/>
    </row>
    <row r="976" spans="2:30" x14ac:dyDescent="0.25">
      <c r="B976" t="str">
        <f t="shared" si="40"/>
        <v/>
      </c>
      <c r="D976" s="1" t="str">
        <f t="shared" si="39"/>
        <v/>
      </c>
      <c r="E976" s="21"/>
      <c r="F976" s="7"/>
      <c r="G976" s="1"/>
      <c r="I976" s="1"/>
      <c r="N976" s="1"/>
      <c r="O976" s="1"/>
      <c r="P976" s="6"/>
      <c r="Q976" s="6"/>
      <c r="R976" s="6"/>
      <c r="S976" s="6"/>
      <c r="T976" s="6"/>
      <c r="U976" s="6"/>
      <c r="V976" s="6"/>
      <c r="W976" s="6"/>
      <c r="X976" s="6"/>
      <c r="Y976" s="6"/>
      <c r="Z976" s="6"/>
      <c r="AA976" s="6"/>
      <c r="AB976" s="6"/>
      <c r="AC976" s="6"/>
      <c r="AD976" s="6"/>
    </row>
    <row r="977" spans="2:30" x14ac:dyDescent="0.25">
      <c r="B977" t="str">
        <f t="shared" si="40"/>
        <v/>
      </c>
      <c r="D977" s="1" t="str">
        <f t="shared" si="39"/>
        <v/>
      </c>
      <c r="E977" s="21"/>
      <c r="F977" s="7"/>
      <c r="G977" s="1"/>
      <c r="I977" s="1"/>
      <c r="N977" s="1"/>
      <c r="O977" s="1"/>
      <c r="P977" s="6"/>
      <c r="Q977" s="6"/>
      <c r="R977" s="6"/>
      <c r="S977" s="6"/>
      <c r="T977" s="6"/>
      <c r="U977" s="6"/>
      <c r="V977" s="6"/>
      <c r="W977" s="6"/>
      <c r="X977" s="6"/>
      <c r="Y977" s="6"/>
      <c r="Z977" s="6"/>
      <c r="AA977" s="6"/>
      <c r="AB977" s="6"/>
      <c r="AC977" s="6"/>
      <c r="AD977" s="6"/>
    </row>
    <row r="978" spans="2:30" x14ac:dyDescent="0.25">
      <c r="B978" t="str">
        <f t="shared" si="40"/>
        <v/>
      </c>
      <c r="D978" s="1" t="str">
        <f t="shared" si="39"/>
        <v/>
      </c>
      <c r="E978" s="21"/>
      <c r="F978" s="7"/>
      <c r="G978" s="1"/>
      <c r="I978" s="1"/>
      <c r="N978" s="1"/>
      <c r="O978" s="1"/>
      <c r="P978" s="6"/>
      <c r="Q978" s="6"/>
      <c r="R978" s="6"/>
      <c r="S978" s="6"/>
      <c r="T978" s="6"/>
      <c r="U978" s="6"/>
      <c r="V978" s="6"/>
      <c r="W978" s="6"/>
      <c r="X978" s="6"/>
      <c r="Y978" s="6"/>
      <c r="Z978" s="6"/>
      <c r="AA978" s="6"/>
      <c r="AB978" s="6"/>
      <c r="AC978" s="6"/>
      <c r="AD978" s="6"/>
    </row>
    <row r="979" spans="2:30" x14ac:dyDescent="0.25">
      <c r="B979" t="str">
        <f t="shared" si="40"/>
        <v/>
      </c>
      <c r="D979" s="1" t="str">
        <f t="shared" si="39"/>
        <v/>
      </c>
      <c r="E979" s="21"/>
      <c r="F979" s="7"/>
      <c r="G979" s="1"/>
      <c r="I979" s="1"/>
      <c r="N979" s="1"/>
      <c r="O979" s="1"/>
      <c r="P979" s="6"/>
      <c r="Q979" s="6"/>
      <c r="R979" s="6"/>
      <c r="S979" s="6"/>
      <c r="T979" s="6"/>
      <c r="U979" s="6"/>
      <c r="V979" s="6"/>
      <c r="W979" s="6"/>
      <c r="X979" s="6"/>
      <c r="Y979" s="6"/>
      <c r="Z979" s="6"/>
      <c r="AA979" s="6"/>
      <c r="AB979" s="6"/>
      <c r="AC979" s="6"/>
      <c r="AD979" s="6"/>
    </row>
    <row r="980" spans="2:30" x14ac:dyDescent="0.25">
      <c r="B980" t="str">
        <f t="shared" si="40"/>
        <v/>
      </c>
      <c r="D980" s="1" t="str">
        <f t="shared" si="39"/>
        <v/>
      </c>
      <c r="E980" s="21"/>
      <c r="F980" s="7"/>
      <c r="G980" s="1"/>
      <c r="I980" s="1"/>
      <c r="N980" s="1"/>
      <c r="O980" s="1"/>
      <c r="P980" s="6"/>
      <c r="Q980" s="6"/>
      <c r="R980" s="6"/>
      <c r="S980" s="6"/>
      <c r="T980" s="6"/>
      <c r="U980" s="6"/>
      <c r="V980" s="6"/>
      <c r="W980" s="6"/>
      <c r="X980" s="6"/>
      <c r="Y980" s="6"/>
      <c r="Z980" s="6"/>
      <c r="AA980" s="6"/>
      <c r="AB980" s="6"/>
      <c r="AC980" s="6"/>
      <c r="AD980" s="6"/>
    </row>
    <row r="981" spans="2:30" x14ac:dyDescent="0.25">
      <c r="B981" t="str">
        <f t="shared" si="40"/>
        <v/>
      </c>
      <c r="D981" s="1" t="str">
        <f t="shared" si="39"/>
        <v/>
      </c>
      <c r="E981" s="21"/>
      <c r="F981" s="7"/>
      <c r="G981" s="1"/>
      <c r="I981" s="1"/>
      <c r="N981" s="1"/>
      <c r="O981" s="1"/>
      <c r="P981" s="6"/>
      <c r="Q981" s="6"/>
      <c r="R981" s="6"/>
      <c r="S981" s="6"/>
      <c r="T981" s="6"/>
      <c r="U981" s="6"/>
      <c r="V981" s="6"/>
      <c r="W981" s="6"/>
      <c r="X981" s="6"/>
      <c r="Y981" s="6"/>
      <c r="Z981" s="6"/>
      <c r="AA981" s="6"/>
      <c r="AB981" s="6"/>
      <c r="AC981" s="6"/>
      <c r="AD981" s="6"/>
    </row>
    <row r="982" spans="2:30" x14ac:dyDescent="0.25">
      <c r="B982" t="str">
        <f t="shared" si="40"/>
        <v/>
      </c>
      <c r="D982" s="1" t="str">
        <f t="shared" si="39"/>
        <v/>
      </c>
      <c r="E982" s="21"/>
      <c r="F982" s="7"/>
      <c r="G982" s="1"/>
      <c r="I982" s="1"/>
      <c r="N982" s="1"/>
      <c r="O982" s="1"/>
      <c r="P982" s="6"/>
      <c r="Q982" s="6"/>
      <c r="R982" s="6"/>
      <c r="S982" s="6"/>
      <c r="T982" s="6"/>
      <c r="U982" s="6"/>
      <c r="V982" s="6"/>
      <c r="W982" s="6"/>
      <c r="X982" s="6"/>
      <c r="Y982" s="6"/>
      <c r="Z982" s="6"/>
      <c r="AA982" s="6"/>
      <c r="AB982" s="6"/>
      <c r="AC982" s="6"/>
      <c r="AD982" s="6"/>
    </row>
    <row r="983" spans="2:30" x14ac:dyDescent="0.25">
      <c r="B983" t="str">
        <f t="shared" si="40"/>
        <v/>
      </c>
      <c r="D983" s="1" t="str">
        <f t="shared" si="39"/>
        <v/>
      </c>
      <c r="E983" s="21"/>
      <c r="F983" s="7"/>
      <c r="G983" s="1"/>
      <c r="I983" s="1"/>
      <c r="N983" s="1"/>
      <c r="O983" s="1"/>
      <c r="P983" s="6"/>
      <c r="Q983" s="6"/>
      <c r="R983" s="6"/>
      <c r="S983" s="6"/>
      <c r="T983" s="6"/>
      <c r="U983" s="6"/>
      <c r="V983" s="6"/>
      <c r="W983" s="6"/>
      <c r="X983" s="6"/>
      <c r="Y983" s="6"/>
      <c r="Z983" s="6"/>
      <c r="AA983" s="6"/>
      <c r="AB983" s="6"/>
      <c r="AC983" s="6"/>
      <c r="AD983" s="6"/>
    </row>
    <row r="984" spans="2:30" x14ac:dyDescent="0.25">
      <c r="B984" t="str">
        <f t="shared" si="40"/>
        <v/>
      </c>
      <c r="D984" s="1" t="str">
        <f t="shared" si="39"/>
        <v/>
      </c>
      <c r="E984" s="21"/>
      <c r="F984" s="7"/>
      <c r="G984" s="1"/>
      <c r="I984" s="1"/>
      <c r="N984" s="1"/>
      <c r="O984" s="1"/>
      <c r="P984" s="6"/>
      <c r="Q984" s="6"/>
      <c r="R984" s="6"/>
      <c r="S984" s="6"/>
      <c r="T984" s="6"/>
      <c r="U984" s="6"/>
      <c r="V984" s="6"/>
      <c r="W984" s="6"/>
      <c r="X984" s="6"/>
      <c r="Y984" s="6"/>
      <c r="Z984" s="6"/>
      <c r="AA984" s="6"/>
      <c r="AB984" s="6"/>
      <c r="AC984" s="6"/>
      <c r="AD984" s="6"/>
    </row>
    <row r="985" spans="2:30" x14ac:dyDescent="0.25">
      <c r="B985" t="str">
        <f t="shared" si="40"/>
        <v/>
      </c>
      <c r="D985" s="1" t="str">
        <f t="shared" si="39"/>
        <v/>
      </c>
      <c r="E985" s="21"/>
      <c r="F985" s="7"/>
      <c r="G985" s="1"/>
      <c r="I985" s="1"/>
      <c r="N985" s="1"/>
      <c r="O985" s="1"/>
      <c r="P985" s="6"/>
      <c r="Q985" s="6"/>
      <c r="R985" s="6"/>
      <c r="S985" s="6"/>
      <c r="T985" s="6"/>
      <c r="U985" s="6"/>
      <c r="V985" s="6"/>
      <c r="W985" s="6"/>
      <c r="X985" s="6"/>
      <c r="Y985" s="6"/>
      <c r="Z985" s="6"/>
      <c r="AA985" s="6"/>
      <c r="AB985" s="6"/>
      <c r="AC985" s="6"/>
      <c r="AD985" s="6"/>
    </row>
    <row r="986" spans="2:30" x14ac:dyDescent="0.25">
      <c r="B986" t="str">
        <f t="shared" si="40"/>
        <v/>
      </c>
      <c r="D986" s="1" t="str">
        <f t="shared" si="39"/>
        <v/>
      </c>
      <c r="E986" s="21"/>
      <c r="F986" s="7"/>
      <c r="G986" s="1"/>
      <c r="I986" s="1"/>
      <c r="N986" s="1"/>
      <c r="O986" s="1"/>
      <c r="P986" s="6"/>
      <c r="Q986" s="6"/>
      <c r="R986" s="6"/>
      <c r="S986" s="6"/>
      <c r="T986" s="6"/>
      <c r="U986" s="6"/>
      <c r="V986" s="6"/>
      <c r="W986" s="6"/>
      <c r="X986" s="6"/>
      <c r="Y986" s="6"/>
      <c r="Z986" s="6"/>
      <c r="AA986" s="6"/>
      <c r="AB986" s="6"/>
      <c r="AC986" s="6"/>
      <c r="AD986" s="6"/>
    </row>
    <row r="987" spans="2:30" x14ac:dyDescent="0.25">
      <c r="B987" t="str">
        <f t="shared" si="40"/>
        <v/>
      </c>
      <c r="D987" s="1" t="str">
        <f t="shared" si="39"/>
        <v/>
      </c>
      <c r="E987" s="21"/>
      <c r="F987" s="7"/>
      <c r="G987" s="1"/>
      <c r="I987" s="1"/>
      <c r="N987" s="1"/>
      <c r="O987" s="1"/>
      <c r="P987" s="6"/>
      <c r="Q987" s="6"/>
      <c r="R987" s="6"/>
      <c r="S987" s="6"/>
      <c r="T987" s="6"/>
      <c r="U987" s="6"/>
      <c r="V987" s="6"/>
      <c r="W987" s="6"/>
      <c r="X987" s="6"/>
      <c r="Y987" s="6"/>
      <c r="Z987" s="6"/>
      <c r="AA987" s="6"/>
      <c r="AB987" s="6"/>
      <c r="AC987" s="6"/>
      <c r="AD987" s="6"/>
    </row>
    <row r="988" spans="2:30" x14ac:dyDescent="0.25">
      <c r="B988" t="str">
        <f t="shared" si="40"/>
        <v/>
      </c>
      <c r="D988" s="1" t="str">
        <f t="shared" si="39"/>
        <v/>
      </c>
      <c r="E988" s="21"/>
      <c r="F988" s="7"/>
      <c r="G988" s="1"/>
      <c r="I988" s="1"/>
      <c r="N988" s="1"/>
      <c r="O988" s="1"/>
      <c r="P988" s="6"/>
      <c r="Q988" s="6"/>
      <c r="R988" s="6"/>
      <c r="S988" s="6"/>
      <c r="T988" s="6"/>
      <c r="U988" s="6"/>
      <c r="V988" s="6"/>
      <c r="W988" s="6"/>
      <c r="X988" s="6"/>
      <c r="Y988" s="6"/>
      <c r="Z988" s="6"/>
      <c r="AA988" s="6"/>
      <c r="AB988" s="6"/>
      <c r="AC988" s="6"/>
      <c r="AD988" s="6"/>
    </row>
    <row r="989" spans="2:30" x14ac:dyDescent="0.25">
      <c r="B989" t="str">
        <f t="shared" si="40"/>
        <v/>
      </c>
      <c r="D989" s="1" t="str">
        <f t="shared" si="39"/>
        <v/>
      </c>
      <c r="E989" s="21"/>
      <c r="F989" s="7"/>
      <c r="G989" s="1"/>
      <c r="I989" s="1"/>
      <c r="N989" s="1"/>
      <c r="O989" s="1"/>
      <c r="P989" s="6"/>
      <c r="Q989" s="6"/>
      <c r="R989" s="6"/>
      <c r="S989" s="6"/>
      <c r="T989" s="6"/>
      <c r="U989" s="6"/>
      <c r="V989" s="6"/>
      <c r="W989" s="6"/>
      <c r="X989" s="6"/>
      <c r="Y989" s="6"/>
      <c r="Z989" s="6"/>
      <c r="AA989" s="6"/>
      <c r="AB989" s="6"/>
      <c r="AC989" s="6"/>
      <c r="AD989" s="6"/>
    </row>
    <row r="990" spans="2:30" x14ac:dyDescent="0.25">
      <c r="B990" t="str">
        <f t="shared" si="40"/>
        <v/>
      </c>
      <c r="D990" s="1" t="str">
        <f t="shared" si="39"/>
        <v/>
      </c>
      <c r="E990" s="21"/>
      <c r="F990" s="7"/>
      <c r="G990" s="1"/>
      <c r="I990" s="1"/>
      <c r="N990" s="1"/>
      <c r="O990" s="1"/>
      <c r="P990" s="6"/>
      <c r="Q990" s="6"/>
      <c r="R990" s="6"/>
      <c r="S990" s="6"/>
      <c r="T990" s="6"/>
      <c r="U990" s="6"/>
      <c r="V990" s="6"/>
      <c r="W990" s="6"/>
      <c r="X990" s="6"/>
      <c r="Y990" s="6"/>
      <c r="Z990" s="6"/>
      <c r="AA990" s="6"/>
      <c r="AB990" s="6"/>
      <c r="AC990" s="6"/>
      <c r="AD990" s="6"/>
    </row>
    <row r="991" spans="2:30" x14ac:dyDescent="0.25">
      <c r="B991" t="str">
        <f t="shared" si="40"/>
        <v/>
      </c>
      <c r="D991" s="1" t="str">
        <f t="shared" si="39"/>
        <v/>
      </c>
      <c r="E991" s="21"/>
      <c r="F991" s="7"/>
      <c r="G991" s="1"/>
      <c r="I991" s="1"/>
      <c r="N991" s="1"/>
      <c r="O991" s="1"/>
      <c r="P991" s="6"/>
      <c r="Q991" s="6"/>
      <c r="R991" s="6"/>
      <c r="S991" s="6"/>
      <c r="T991" s="6"/>
      <c r="U991" s="6"/>
      <c r="V991" s="6"/>
      <c r="W991" s="6"/>
      <c r="X991" s="6"/>
      <c r="Y991" s="6"/>
      <c r="Z991" s="6"/>
      <c r="AA991" s="6"/>
      <c r="AB991" s="6"/>
      <c r="AC991" s="6"/>
      <c r="AD991" s="6"/>
    </row>
    <row r="992" spans="2:30" x14ac:dyDescent="0.25">
      <c r="B992" t="str">
        <f t="shared" si="40"/>
        <v/>
      </c>
      <c r="D992" s="1" t="str">
        <f t="shared" si="39"/>
        <v/>
      </c>
      <c r="E992" s="21"/>
      <c r="F992" s="7"/>
      <c r="G992" s="1"/>
      <c r="I992" s="1"/>
      <c r="N992" s="1"/>
      <c r="O992" s="1"/>
      <c r="P992" s="6"/>
      <c r="Q992" s="6"/>
      <c r="R992" s="6"/>
      <c r="S992" s="6"/>
      <c r="T992" s="6"/>
      <c r="U992" s="6"/>
      <c r="V992" s="6"/>
      <c r="W992" s="6"/>
      <c r="X992" s="6"/>
      <c r="Y992" s="6"/>
      <c r="Z992" s="6"/>
      <c r="AA992" s="6"/>
      <c r="AB992" s="6"/>
      <c r="AC992" s="6"/>
      <c r="AD992" s="6"/>
    </row>
    <row r="993" spans="2:30" x14ac:dyDescent="0.25">
      <c r="B993" t="str">
        <f t="shared" si="40"/>
        <v/>
      </c>
      <c r="D993" s="1" t="str">
        <f t="shared" si="39"/>
        <v/>
      </c>
      <c r="E993" s="21"/>
      <c r="F993" s="7"/>
      <c r="G993" s="1"/>
      <c r="I993" s="1"/>
      <c r="N993" s="1"/>
      <c r="O993" s="1"/>
      <c r="P993" s="6"/>
      <c r="Q993" s="6"/>
      <c r="R993" s="6"/>
      <c r="S993" s="6"/>
      <c r="T993" s="6"/>
      <c r="U993" s="6"/>
      <c r="V993" s="6"/>
      <c r="W993" s="6"/>
      <c r="X993" s="6"/>
      <c r="Y993" s="6"/>
      <c r="Z993" s="6"/>
      <c r="AA993" s="6"/>
      <c r="AB993" s="6"/>
      <c r="AC993" s="6"/>
      <c r="AD993" s="6"/>
    </row>
    <row r="994" spans="2:30" x14ac:dyDescent="0.25">
      <c r="B994" t="str">
        <f t="shared" si="40"/>
        <v/>
      </c>
      <c r="D994" s="1" t="str">
        <f t="shared" si="39"/>
        <v/>
      </c>
      <c r="E994" s="21"/>
      <c r="F994" s="7"/>
      <c r="G994" s="1"/>
      <c r="I994" s="1"/>
      <c r="N994" s="1"/>
      <c r="O994" s="1"/>
      <c r="P994" s="6"/>
      <c r="Q994" s="6"/>
      <c r="R994" s="6"/>
      <c r="S994" s="6"/>
      <c r="T994" s="6"/>
      <c r="U994" s="6"/>
      <c r="V994" s="6"/>
      <c r="W994" s="6"/>
      <c r="X994" s="6"/>
      <c r="Y994" s="6"/>
      <c r="Z994" s="6"/>
      <c r="AA994" s="6"/>
      <c r="AB994" s="6"/>
      <c r="AC994" s="6"/>
      <c r="AD994" s="6"/>
    </row>
    <row r="995" spans="2:30" x14ac:dyDescent="0.25">
      <c r="B995" t="str">
        <f t="shared" si="40"/>
        <v/>
      </c>
      <c r="D995" s="1" t="str">
        <f t="shared" si="39"/>
        <v/>
      </c>
      <c r="E995" s="21"/>
      <c r="F995" s="7"/>
      <c r="G995" s="1"/>
      <c r="I995" s="1"/>
      <c r="N995" s="1"/>
      <c r="O995" s="1"/>
      <c r="P995" s="6"/>
      <c r="Q995" s="6"/>
      <c r="R995" s="6"/>
      <c r="S995" s="6"/>
      <c r="T995" s="6"/>
      <c r="U995" s="6"/>
      <c r="V995" s="6"/>
      <c r="W995" s="6"/>
      <c r="X995" s="6"/>
      <c r="Y995" s="6"/>
      <c r="Z995" s="6"/>
      <c r="AA995" s="6"/>
      <c r="AB995" s="6"/>
      <c r="AC995" s="6"/>
      <c r="AD995" s="6"/>
    </row>
    <row r="996" spans="2:30" x14ac:dyDescent="0.25">
      <c r="B996" t="str">
        <f t="shared" si="40"/>
        <v/>
      </c>
      <c r="D996" s="1" t="str">
        <f t="shared" si="39"/>
        <v/>
      </c>
      <c r="E996" s="21"/>
      <c r="F996" s="7"/>
      <c r="G996" s="1"/>
      <c r="I996" s="1"/>
      <c r="N996" s="1"/>
      <c r="O996" s="1"/>
      <c r="P996" s="6"/>
      <c r="Q996" s="6"/>
      <c r="R996" s="6"/>
      <c r="S996" s="6"/>
      <c r="T996" s="6"/>
      <c r="U996" s="6"/>
      <c r="V996" s="6"/>
      <c r="W996" s="6"/>
      <c r="X996" s="6"/>
      <c r="Y996" s="6"/>
      <c r="Z996" s="6"/>
      <c r="AA996" s="6"/>
      <c r="AB996" s="6"/>
      <c r="AC996" s="6"/>
      <c r="AD996" s="6"/>
    </row>
    <row r="997" spans="2:30" x14ac:dyDescent="0.25">
      <c r="B997" t="str">
        <f t="shared" si="40"/>
        <v/>
      </c>
      <c r="D997" s="1" t="str">
        <f t="shared" si="39"/>
        <v/>
      </c>
      <c r="E997" s="21"/>
      <c r="F997" s="7"/>
      <c r="G997" s="1"/>
      <c r="I997" s="1"/>
      <c r="N997" s="1"/>
      <c r="O997" s="1"/>
      <c r="P997" s="6"/>
      <c r="Q997" s="6"/>
      <c r="R997" s="6"/>
      <c r="S997" s="6"/>
      <c r="T997" s="6"/>
      <c r="U997" s="6"/>
      <c r="V997" s="6"/>
      <c r="W997" s="6"/>
      <c r="X997" s="6"/>
      <c r="Y997" s="6"/>
      <c r="Z997" s="6"/>
      <c r="AA997" s="6"/>
      <c r="AB997" s="6"/>
      <c r="AC997" s="6"/>
      <c r="AD997" s="6"/>
    </row>
    <row r="998" spans="2:30" x14ac:dyDescent="0.25">
      <c r="B998" t="str">
        <f t="shared" si="40"/>
        <v/>
      </c>
      <c r="D998" s="1" t="str">
        <f t="shared" si="39"/>
        <v/>
      </c>
      <c r="E998" s="21"/>
      <c r="F998" s="7"/>
      <c r="G998" s="1"/>
      <c r="I998" s="1"/>
      <c r="N998" s="1"/>
      <c r="O998" s="1"/>
      <c r="P998" s="6"/>
      <c r="Q998" s="6"/>
      <c r="R998" s="6"/>
      <c r="S998" s="6"/>
      <c r="T998" s="6"/>
      <c r="U998" s="6"/>
      <c r="V998" s="6"/>
      <c r="W998" s="6"/>
      <c r="X998" s="6"/>
      <c r="Y998" s="6"/>
      <c r="Z998" s="6"/>
      <c r="AA998" s="6"/>
      <c r="AB998" s="6"/>
      <c r="AC998" s="6"/>
      <c r="AD998" s="6"/>
    </row>
    <row r="999" spans="2:30" x14ac:dyDescent="0.25">
      <c r="B999" t="str">
        <f t="shared" si="40"/>
        <v/>
      </c>
      <c r="D999" s="1" t="str">
        <f t="shared" si="39"/>
        <v/>
      </c>
      <c r="E999" s="19"/>
      <c r="F999" s="7"/>
      <c r="G999" s="1"/>
      <c r="I999" s="1"/>
      <c r="N999" s="1"/>
      <c r="O999" s="1"/>
      <c r="P999" s="6"/>
      <c r="Q999" s="6"/>
      <c r="R999" s="6"/>
      <c r="S999" s="6"/>
      <c r="T999" s="6"/>
      <c r="U999" s="6"/>
      <c r="V999" s="6"/>
      <c r="W999" s="6"/>
      <c r="X999" s="6"/>
      <c r="Y999" s="6"/>
      <c r="Z999" s="6"/>
      <c r="AA999" s="6"/>
      <c r="AB999" s="6"/>
      <c r="AC999" s="6"/>
      <c r="AD999" s="6"/>
    </row>
    <row r="1000" spans="2:30" x14ac:dyDescent="0.25">
      <c r="E1000" s="19"/>
      <c r="P1000" s="6"/>
      <c r="Q1000" s="6"/>
      <c r="R1000" s="6"/>
      <c r="S1000" s="6"/>
      <c r="T1000" s="6"/>
      <c r="U1000" s="6"/>
      <c r="V1000" s="6"/>
      <c r="W1000" s="6"/>
      <c r="X1000" s="6"/>
      <c r="Y1000" s="6"/>
      <c r="Z1000" s="6"/>
      <c r="AA1000" s="6"/>
      <c r="AB1000" s="6"/>
      <c r="AC1000" s="6"/>
      <c r="AD1000" s="6"/>
    </row>
    <row r="1001" spans="2:30" x14ac:dyDescent="0.25">
      <c r="E1001" s="19"/>
    </row>
    <row r="1002" spans="2:30" x14ac:dyDescent="0.25">
      <c r="E1002" s="19"/>
    </row>
    <row r="1003" spans="2:30" x14ac:dyDescent="0.25">
      <c r="E1003" s="19"/>
    </row>
    <row r="1004" spans="2:30" x14ac:dyDescent="0.25">
      <c r="E1004" s="19"/>
    </row>
    <row r="1005" spans="2:30" x14ac:dyDescent="0.25">
      <c r="E1005" s="19"/>
    </row>
    <row r="1006" spans="2:30" x14ac:dyDescent="0.25">
      <c r="E1006" s="19"/>
    </row>
    <row r="1007" spans="2:30" x14ac:dyDescent="0.25">
      <c r="E1007" s="19"/>
    </row>
    <row r="1008" spans="2:30" x14ac:dyDescent="0.25">
      <c r="E1008" s="19"/>
    </row>
    <row r="1009" spans="5:5" x14ac:dyDescent="0.25">
      <c r="E1009" s="19"/>
    </row>
    <row r="1010" spans="5:5" x14ac:dyDescent="0.25">
      <c r="E1010" s="19"/>
    </row>
    <row r="1011" spans="5:5" x14ac:dyDescent="0.25">
      <c r="E1011" s="19"/>
    </row>
    <row r="1012" spans="5:5" x14ac:dyDescent="0.25">
      <c r="E1012" s="19"/>
    </row>
    <row r="1013" spans="5:5" x14ac:dyDescent="0.25">
      <c r="E1013" s="19"/>
    </row>
    <row r="1014" spans="5:5" x14ac:dyDescent="0.25">
      <c r="E1014" s="19"/>
    </row>
    <row r="1015" spans="5:5" x14ac:dyDescent="0.25">
      <c r="E1015" s="19"/>
    </row>
    <row r="1016" spans="5:5" x14ac:dyDescent="0.25">
      <c r="E1016" s="19"/>
    </row>
    <row r="1017" spans="5:5" x14ac:dyDescent="0.25">
      <c r="E1017" s="19"/>
    </row>
    <row r="1018" spans="5:5" x14ac:dyDescent="0.25">
      <c r="E1018" s="19"/>
    </row>
    <row r="1019" spans="5:5" x14ac:dyDescent="0.25">
      <c r="E1019" s="19"/>
    </row>
    <row r="1020" spans="5:5" x14ac:dyDescent="0.25">
      <c r="E1020" s="19"/>
    </row>
    <row r="1021" spans="5:5" x14ac:dyDescent="0.25">
      <c r="E1021" s="19"/>
    </row>
    <row r="1022" spans="5:5" x14ac:dyDescent="0.25">
      <c r="E1022" s="19"/>
    </row>
    <row r="1023" spans="5:5" x14ac:dyDescent="0.25">
      <c r="E1023" s="19"/>
    </row>
    <row r="1024" spans="5:5" x14ac:dyDescent="0.25">
      <c r="E1024" s="19"/>
    </row>
    <row r="1025" spans="5:5" x14ac:dyDescent="0.25">
      <c r="E1025" s="19"/>
    </row>
    <row r="1026" spans="5:5" x14ac:dyDescent="0.25">
      <c r="E1026" s="19"/>
    </row>
    <row r="1027" spans="5:5" x14ac:dyDescent="0.25">
      <c r="E1027" s="19"/>
    </row>
    <row r="1028" spans="5:5" x14ac:dyDescent="0.25">
      <c r="E1028" s="19"/>
    </row>
    <row r="1029" spans="5:5" x14ac:dyDescent="0.25">
      <c r="E1029" s="19"/>
    </row>
    <row r="1030" spans="5:5" x14ac:dyDescent="0.25">
      <c r="E1030" s="19"/>
    </row>
    <row r="1031" spans="5:5" x14ac:dyDescent="0.25">
      <c r="E1031" s="19"/>
    </row>
    <row r="1032" spans="5:5" x14ac:dyDescent="0.25">
      <c r="E1032" s="19"/>
    </row>
    <row r="1033" spans="5:5" x14ac:dyDescent="0.25">
      <c r="E1033" s="19"/>
    </row>
    <row r="1034" spans="5:5" x14ac:dyDescent="0.25">
      <c r="E1034" s="19"/>
    </row>
    <row r="1035" spans="5:5" x14ac:dyDescent="0.25">
      <c r="E1035" s="19"/>
    </row>
    <row r="1036" spans="5:5" x14ac:dyDescent="0.25">
      <c r="E1036" s="19"/>
    </row>
    <row r="1037" spans="5:5" x14ac:dyDescent="0.25">
      <c r="E1037" s="19"/>
    </row>
    <row r="1038" spans="5:5" x14ac:dyDescent="0.25">
      <c r="E1038" s="19"/>
    </row>
    <row r="1039" spans="5:5" x14ac:dyDescent="0.25">
      <c r="E1039" s="19"/>
    </row>
    <row r="1040" spans="5:5" x14ac:dyDescent="0.25">
      <c r="E1040" s="19"/>
    </row>
    <row r="1041" spans="5:5" x14ac:dyDescent="0.25">
      <c r="E1041" s="19"/>
    </row>
    <row r="1042" spans="5:5" x14ac:dyDescent="0.25">
      <c r="E1042" s="19"/>
    </row>
    <row r="1043" spans="5:5" x14ac:dyDescent="0.25">
      <c r="E1043" s="19"/>
    </row>
    <row r="1044" spans="5:5" x14ac:dyDescent="0.25">
      <c r="E1044" s="19"/>
    </row>
    <row r="1045" spans="5:5" x14ac:dyDescent="0.25">
      <c r="E1045" s="19"/>
    </row>
    <row r="1046" spans="5:5" x14ac:dyDescent="0.25">
      <c r="E1046" s="19"/>
    </row>
    <row r="1047" spans="5:5" x14ac:dyDescent="0.25">
      <c r="E1047" s="19"/>
    </row>
    <row r="1048" spans="5:5" x14ac:dyDescent="0.25">
      <c r="E1048" s="19"/>
    </row>
    <row r="1049" spans="5:5" x14ac:dyDescent="0.25">
      <c r="E1049" s="19"/>
    </row>
    <row r="1050" spans="5:5" x14ac:dyDescent="0.25">
      <c r="E1050" s="19"/>
    </row>
    <row r="1051" spans="5:5" x14ac:dyDescent="0.25">
      <c r="E1051" s="19"/>
    </row>
    <row r="1052" spans="5:5" x14ac:dyDescent="0.25">
      <c r="E1052" s="19"/>
    </row>
    <row r="1053" spans="5:5" x14ac:dyDescent="0.25">
      <c r="E1053" s="19"/>
    </row>
    <row r="1054" spans="5:5" x14ac:dyDescent="0.25">
      <c r="E1054" s="19"/>
    </row>
    <row r="1055" spans="5:5" x14ac:dyDescent="0.25">
      <c r="E1055" s="19"/>
    </row>
    <row r="1056" spans="5:5" x14ac:dyDescent="0.25">
      <c r="E1056" s="19"/>
    </row>
    <row r="1057" spans="5:5" x14ac:dyDescent="0.25">
      <c r="E1057" s="19"/>
    </row>
    <row r="1058" spans="5:5" x14ac:dyDescent="0.25">
      <c r="E1058" s="19"/>
    </row>
    <row r="1059" spans="5:5" x14ac:dyDescent="0.25">
      <c r="E1059" s="19"/>
    </row>
    <row r="1060" spans="5:5" x14ac:dyDescent="0.25">
      <c r="E1060" s="19"/>
    </row>
    <row r="1061" spans="5:5" x14ac:dyDescent="0.25">
      <c r="E1061" s="19"/>
    </row>
    <row r="1062" spans="5:5" x14ac:dyDescent="0.25">
      <c r="E1062" s="19"/>
    </row>
    <row r="1063" spans="5:5" x14ac:dyDescent="0.25">
      <c r="E1063" s="19"/>
    </row>
    <row r="1064" spans="5:5" x14ac:dyDescent="0.25">
      <c r="E1064" s="19"/>
    </row>
    <row r="1065" spans="5:5" x14ac:dyDescent="0.25">
      <c r="E1065" s="19"/>
    </row>
    <row r="1066" spans="5:5" x14ac:dyDescent="0.25">
      <c r="E1066" s="19"/>
    </row>
    <row r="1067" spans="5:5" x14ac:dyDescent="0.25">
      <c r="E1067" s="19"/>
    </row>
    <row r="1068" spans="5:5" x14ac:dyDescent="0.25">
      <c r="E1068" s="19"/>
    </row>
    <row r="1069" spans="5:5" x14ac:dyDescent="0.25">
      <c r="E1069" s="19"/>
    </row>
    <row r="1070" spans="5:5" x14ac:dyDescent="0.25">
      <c r="E1070" s="19"/>
    </row>
    <row r="1071" spans="5:5" x14ac:dyDescent="0.25">
      <c r="E1071" s="19"/>
    </row>
    <row r="1072" spans="5:5" x14ac:dyDescent="0.25">
      <c r="E1072" s="19"/>
    </row>
    <row r="1073" spans="5:5" x14ac:dyDescent="0.25">
      <c r="E1073" s="19"/>
    </row>
    <row r="1074" spans="5:5" x14ac:dyDescent="0.25">
      <c r="E1074" s="19"/>
    </row>
    <row r="1075" spans="5:5" x14ac:dyDescent="0.25">
      <c r="E1075" s="19"/>
    </row>
    <row r="1076" spans="5:5" x14ac:dyDescent="0.25">
      <c r="E1076" s="19"/>
    </row>
    <row r="1077" spans="5:5" x14ac:dyDescent="0.25">
      <c r="E1077" s="19"/>
    </row>
    <row r="1078" spans="5:5" x14ac:dyDescent="0.25">
      <c r="E1078" s="19"/>
    </row>
    <row r="1079" spans="5:5" x14ac:dyDescent="0.25">
      <c r="E1079" s="19"/>
    </row>
    <row r="1080" spans="5:5" x14ac:dyDescent="0.25">
      <c r="E1080" s="19"/>
    </row>
    <row r="1081" spans="5:5" x14ac:dyDescent="0.25">
      <c r="E1081" s="19"/>
    </row>
    <row r="1082" spans="5:5" x14ac:dyDescent="0.25">
      <c r="E1082" s="19"/>
    </row>
    <row r="1083" spans="5:5" x14ac:dyDescent="0.25">
      <c r="E1083" s="19"/>
    </row>
    <row r="1084" spans="5:5" x14ac:dyDescent="0.25">
      <c r="E1084" s="19"/>
    </row>
    <row r="1085" spans="5:5" x14ac:dyDescent="0.25">
      <c r="E1085" s="19"/>
    </row>
    <row r="1086" spans="5:5" x14ac:dyDescent="0.25">
      <c r="E1086" s="19"/>
    </row>
    <row r="1087" spans="5:5" x14ac:dyDescent="0.25">
      <c r="E1087" s="19"/>
    </row>
    <row r="1088" spans="5:5" x14ac:dyDescent="0.25">
      <c r="E1088" s="19"/>
    </row>
    <row r="1089" spans="5:5" x14ac:dyDescent="0.25">
      <c r="E1089" s="19"/>
    </row>
    <row r="1090" spans="5:5" x14ac:dyDescent="0.25">
      <c r="E1090" s="19"/>
    </row>
    <row r="1091" spans="5:5" x14ac:dyDescent="0.25">
      <c r="E1091" s="19"/>
    </row>
    <row r="1092" spans="5:5" x14ac:dyDescent="0.25">
      <c r="E1092" s="19"/>
    </row>
    <row r="1093" spans="5:5" x14ac:dyDescent="0.25">
      <c r="E1093" s="19"/>
    </row>
    <row r="1094" spans="5:5" x14ac:dyDescent="0.25">
      <c r="E1094" s="19"/>
    </row>
    <row r="1095" spans="5:5" x14ac:dyDescent="0.25">
      <c r="E1095" s="19"/>
    </row>
    <row r="1096" spans="5:5" x14ac:dyDescent="0.25">
      <c r="E1096" s="19"/>
    </row>
    <row r="1097" spans="5:5" x14ac:dyDescent="0.25">
      <c r="E1097" s="19"/>
    </row>
    <row r="1098" spans="5:5" x14ac:dyDescent="0.25">
      <c r="E1098" s="19"/>
    </row>
    <row r="1099" spans="5:5" x14ac:dyDescent="0.25">
      <c r="E1099" s="19"/>
    </row>
    <row r="1100" spans="5:5" x14ac:dyDescent="0.25">
      <c r="E1100" s="19"/>
    </row>
    <row r="1101" spans="5:5" x14ac:dyDescent="0.25">
      <c r="E1101" s="19"/>
    </row>
    <row r="1102" spans="5:5" x14ac:dyDescent="0.25">
      <c r="E1102" s="19"/>
    </row>
    <row r="1103" spans="5:5" x14ac:dyDescent="0.25">
      <c r="E1103" s="19"/>
    </row>
    <row r="1104" spans="5:5" x14ac:dyDescent="0.25">
      <c r="E1104" s="19"/>
    </row>
    <row r="1105" spans="5:5" x14ac:dyDescent="0.25">
      <c r="E1105" s="19"/>
    </row>
    <row r="1106" spans="5:5" x14ac:dyDescent="0.25">
      <c r="E1106" s="19"/>
    </row>
    <row r="1107" spans="5:5" x14ac:dyDescent="0.25">
      <c r="E1107" s="19"/>
    </row>
    <row r="1108" spans="5:5" x14ac:dyDescent="0.25">
      <c r="E1108" s="19"/>
    </row>
    <row r="1109" spans="5:5" x14ac:dyDescent="0.25">
      <c r="E1109" s="19"/>
    </row>
    <row r="1110" spans="5:5" x14ac:dyDescent="0.25">
      <c r="E1110" s="19"/>
    </row>
    <row r="1111" spans="5:5" x14ac:dyDescent="0.25">
      <c r="E1111" s="19"/>
    </row>
    <row r="1112" spans="5:5" x14ac:dyDescent="0.25">
      <c r="E1112" s="19"/>
    </row>
    <row r="1113" spans="5:5" x14ac:dyDescent="0.25">
      <c r="E1113" s="19"/>
    </row>
    <row r="1114" spans="5:5" x14ac:dyDescent="0.25">
      <c r="E1114" s="19"/>
    </row>
    <row r="1115" spans="5:5" x14ac:dyDescent="0.25">
      <c r="E1115" s="19"/>
    </row>
    <row r="1116" spans="5:5" x14ac:dyDescent="0.25">
      <c r="E1116" s="19"/>
    </row>
    <row r="1117" spans="5:5" x14ac:dyDescent="0.25">
      <c r="E1117" s="19"/>
    </row>
    <row r="1118" spans="5:5" x14ac:dyDescent="0.25">
      <c r="E1118" s="19"/>
    </row>
    <row r="1119" spans="5:5" x14ac:dyDescent="0.25">
      <c r="E1119" s="19"/>
    </row>
    <row r="1120" spans="5:5" x14ac:dyDescent="0.25">
      <c r="E1120" s="19"/>
    </row>
    <row r="1121" spans="5:5" x14ac:dyDescent="0.25">
      <c r="E1121" s="19"/>
    </row>
    <row r="1122" spans="5:5" x14ac:dyDescent="0.25">
      <c r="E1122" s="19"/>
    </row>
    <row r="1123" spans="5:5" x14ac:dyDescent="0.25">
      <c r="E1123" s="19"/>
    </row>
    <row r="1124" spans="5:5" x14ac:dyDescent="0.25">
      <c r="E1124" s="19"/>
    </row>
    <row r="1125" spans="5:5" x14ac:dyDescent="0.25">
      <c r="E1125" s="19"/>
    </row>
    <row r="1126" spans="5:5" x14ac:dyDescent="0.25">
      <c r="E1126" s="19"/>
    </row>
    <row r="1127" spans="5:5" x14ac:dyDescent="0.25">
      <c r="E1127" s="19"/>
    </row>
    <row r="1128" spans="5:5" x14ac:dyDescent="0.25">
      <c r="E1128" s="19"/>
    </row>
    <row r="1129" spans="5:5" x14ac:dyDescent="0.25">
      <c r="E1129" s="19"/>
    </row>
    <row r="1130" spans="5:5" x14ac:dyDescent="0.25">
      <c r="E1130" s="19"/>
    </row>
    <row r="1131" spans="5:5" x14ac:dyDescent="0.25">
      <c r="E1131" s="19"/>
    </row>
    <row r="1132" spans="5:5" x14ac:dyDescent="0.25">
      <c r="E1132" s="19"/>
    </row>
    <row r="1133" spans="5:5" x14ac:dyDescent="0.25">
      <c r="E1133" s="19"/>
    </row>
    <row r="1134" spans="5:5" x14ac:dyDescent="0.25">
      <c r="E1134" s="19"/>
    </row>
    <row r="1135" spans="5:5" x14ac:dyDescent="0.25">
      <c r="E1135" s="19"/>
    </row>
    <row r="1136" spans="5:5" x14ac:dyDescent="0.25">
      <c r="E1136" s="19"/>
    </row>
    <row r="1137" spans="5:5" x14ac:dyDescent="0.25">
      <c r="E1137" s="19"/>
    </row>
    <row r="1138" spans="5:5" x14ac:dyDescent="0.25">
      <c r="E1138" s="19"/>
    </row>
    <row r="1139" spans="5:5" x14ac:dyDescent="0.25">
      <c r="E1139" s="19"/>
    </row>
    <row r="1140" spans="5:5" x14ac:dyDescent="0.25">
      <c r="E1140" s="19"/>
    </row>
    <row r="1141" spans="5:5" x14ac:dyDescent="0.25">
      <c r="E1141" s="19"/>
    </row>
    <row r="1142" spans="5:5" x14ac:dyDescent="0.25">
      <c r="E1142" s="19"/>
    </row>
    <row r="1143" spans="5:5" x14ac:dyDescent="0.25">
      <c r="E1143" s="19"/>
    </row>
    <row r="1144" spans="5:5" x14ac:dyDescent="0.25">
      <c r="E1144" s="19"/>
    </row>
    <row r="1145" spans="5:5" x14ac:dyDescent="0.25">
      <c r="E1145" s="19"/>
    </row>
    <row r="1146" spans="5:5" x14ac:dyDescent="0.25">
      <c r="E1146" s="19"/>
    </row>
    <row r="1147" spans="5:5" x14ac:dyDescent="0.25">
      <c r="E1147" s="19"/>
    </row>
    <row r="1148" spans="5:5" x14ac:dyDescent="0.25">
      <c r="E1148" s="19"/>
    </row>
    <row r="1149" spans="5:5" x14ac:dyDescent="0.25">
      <c r="E1149" s="19"/>
    </row>
    <row r="1150" spans="5:5" x14ac:dyDescent="0.25">
      <c r="E1150" s="19"/>
    </row>
    <row r="1151" spans="5:5" x14ac:dyDescent="0.25">
      <c r="E1151" s="19"/>
    </row>
    <row r="1152" spans="5:5" x14ac:dyDescent="0.25">
      <c r="E1152" s="19"/>
    </row>
    <row r="1153" spans="5:5" x14ac:dyDescent="0.25">
      <c r="E1153" s="19"/>
    </row>
    <row r="1154" spans="5:5" x14ac:dyDescent="0.25">
      <c r="E1154" s="19"/>
    </row>
    <row r="1155" spans="5:5" x14ac:dyDescent="0.25">
      <c r="E1155" s="19"/>
    </row>
    <row r="1156" spans="5:5" x14ac:dyDescent="0.25">
      <c r="E1156" s="19"/>
    </row>
    <row r="1157" spans="5:5" x14ac:dyDescent="0.25">
      <c r="E1157" s="19"/>
    </row>
    <row r="1158" spans="5:5" x14ac:dyDescent="0.25">
      <c r="E1158" s="19"/>
    </row>
    <row r="1159" spans="5:5" x14ac:dyDescent="0.25">
      <c r="E1159" s="19"/>
    </row>
    <row r="1160" spans="5:5" x14ac:dyDescent="0.25">
      <c r="E1160" s="19"/>
    </row>
    <row r="1161" spans="5:5" x14ac:dyDescent="0.25">
      <c r="E1161" s="19"/>
    </row>
    <row r="1162" spans="5:5" x14ac:dyDescent="0.25">
      <c r="E1162" s="19"/>
    </row>
    <row r="1163" spans="5:5" x14ac:dyDescent="0.25">
      <c r="E1163" s="19"/>
    </row>
    <row r="1164" spans="5:5" x14ac:dyDescent="0.25">
      <c r="E1164" s="19"/>
    </row>
    <row r="1165" spans="5:5" x14ac:dyDescent="0.25">
      <c r="E1165" s="19"/>
    </row>
    <row r="1166" spans="5:5" x14ac:dyDescent="0.25">
      <c r="E1166" s="19"/>
    </row>
    <row r="1167" spans="5:5" x14ac:dyDescent="0.25">
      <c r="E1167" s="19"/>
    </row>
    <row r="1168" spans="5:5" x14ac:dyDescent="0.25">
      <c r="E1168" s="19"/>
    </row>
    <row r="1169" spans="5:5" x14ac:dyDescent="0.25">
      <c r="E1169" s="19"/>
    </row>
    <row r="1170" spans="5:5" x14ac:dyDescent="0.25">
      <c r="E1170" s="19"/>
    </row>
    <row r="1171" spans="5:5" x14ac:dyDescent="0.25">
      <c r="E1171" s="19"/>
    </row>
    <row r="1172" spans="5:5" x14ac:dyDescent="0.25">
      <c r="E1172" s="19"/>
    </row>
    <row r="1173" spans="5:5" x14ac:dyDescent="0.25">
      <c r="E1173" s="19"/>
    </row>
    <row r="1174" spans="5:5" x14ac:dyDescent="0.25">
      <c r="E1174" s="19"/>
    </row>
    <row r="1175" spans="5:5" x14ac:dyDescent="0.25">
      <c r="E1175" s="19"/>
    </row>
    <row r="1176" spans="5:5" x14ac:dyDescent="0.25">
      <c r="E1176" s="19"/>
    </row>
    <row r="1177" spans="5:5" x14ac:dyDescent="0.25">
      <c r="E1177" s="19"/>
    </row>
    <row r="1178" spans="5:5" x14ac:dyDescent="0.25">
      <c r="E1178" s="19"/>
    </row>
    <row r="1179" spans="5:5" x14ac:dyDescent="0.25">
      <c r="E1179" s="19"/>
    </row>
    <row r="1180" spans="5:5" x14ac:dyDescent="0.25">
      <c r="E1180" s="19"/>
    </row>
    <row r="1181" spans="5:5" x14ac:dyDescent="0.25">
      <c r="E1181" s="19"/>
    </row>
    <row r="1182" spans="5:5" x14ac:dyDescent="0.25">
      <c r="E1182" s="19"/>
    </row>
    <row r="1183" spans="5:5" x14ac:dyDescent="0.25">
      <c r="E1183" s="19"/>
    </row>
    <row r="1184" spans="5:5" x14ac:dyDescent="0.25">
      <c r="E1184" s="19"/>
    </row>
    <row r="1185" spans="5:5" x14ac:dyDescent="0.25">
      <c r="E1185" s="19"/>
    </row>
    <row r="1186" spans="5:5" x14ac:dyDescent="0.25">
      <c r="E1186" s="19"/>
    </row>
    <row r="1187" spans="5:5" x14ac:dyDescent="0.25">
      <c r="E1187" s="19"/>
    </row>
    <row r="1188" spans="5:5" x14ac:dyDescent="0.25">
      <c r="E1188" s="19"/>
    </row>
    <row r="1189" spans="5:5" x14ac:dyDescent="0.25">
      <c r="E1189" s="19"/>
    </row>
    <row r="1190" spans="5:5" x14ac:dyDescent="0.25">
      <c r="E1190" s="19"/>
    </row>
    <row r="1191" spans="5:5" x14ac:dyDescent="0.25">
      <c r="E1191" s="19"/>
    </row>
    <row r="1192" spans="5:5" x14ac:dyDescent="0.25">
      <c r="E1192" s="19"/>
    </row>
    <row r="1193" spans="5:5" x14ac:dyDescent="0.25">
      <c r="E1193" s="19"/>
    </row>
    <row r="1194" spans="5:5" x14ac:dyDescent="0.25">
      <c r="E1194" s="19"/>
    </row>
    <row r="1195" spans="5:5" x14ac:dyDescent="0.25">
      <c r="E1195" s="19"/>
    </row>
    <row r="1196" spans="5:5" x14ac:dyDescent="0.25">
      <c r="E1196" s="19"/>
    </row>
    <row r="1197" spans="5:5" x14ac:dyDescent="0.25">
      <c r="E1197" s="19"/>
    </row>
    <row r="1198" spans="5:5" x14ac:dyDescent="0.25">
      <c r="E1198" s="19"/>
    </row>
    <row r="1199" spans="5:5" x14ac:dyDescent="0.25">
      <c r="E1199" s="19"/>
    </row>
    <row r="1200" spans="5:5" x14ac:dyDescent="0.25">
      <c r="E1200" s="19"/>
    </row>
    <row r="1201" spans="5:5" x14ac:dyDescent="0.25">
      <c r="E1201" s="19"/>
    </row>
    <row r="1202" spans="5:5" x14ac:dyDescent="0.25">
      <c r="E1202" s="19"/>
    </row>
    <row r="1203" spans="5:5" x14ac:dyDescent="0.25">
      <c r="E1203" s="19"/>
    </row>
    <row r="1204" spans="5:5" x14ac:dyDescent="0.25">
      <c r="E1204" s="19"/>
    </row>
    <row r="1205" spans="5:5" x14ac:dyDescent="0.25">
      <c r="E1205" s="19"/>
    </row>
    <row r="1206" spans="5:5" x14ac:dyDescent="0.25">
      <c r="E1206" s="19"/>
    </row>
    <row r="1207" spans="5:5" x14ac:dyDescent="0.25">
      <c r="E1207" s="19"/>
    </row>
    <row r="1208" spans="5:5" x14ac:dyDescent="0.25">
      <c r="E1208" s="19"/>
    </row>
    <row r="1209" spans="5:5" x14ac:dyDescent="0.25">
      <c r="E1209" s="19"/>
    </row>
    <row r="1210" spans="5:5" x14ac:dyDescent="0.25">
      <c r="E1210" s="19"/>
    </row>
    <row r="1211" spans="5:5" x14ac:dyDescent="0.25">
      <c r="E1211" s="19"/>
    </row>
    <row r="1212" spans="5:5" x14ac:dyDescent="0.25">
      <c r="E1212" s="19"/>
    </row>
    <row r="1213" spans="5:5" x14ac:dyDescent="0.25">
      <c r="E1213" s="19"/>
    </row>
    <row r="1214" spans="5:5" x14ac:dyDescent="0.25">
      <c r="E1214" s="19"/>
    </row>
    <row r="1215" spans="5:5" x14ac:dyDescent="0.25">
      <c r="E1215" s="19"/>
    </row>
    <row r="1216" spans="5:5" x14ac:dyDescent="0.25">
      <c r="E1216" s="19"/>
    </row>
    <row r="1217" spans="5:5" x14ac:dyDescent="0.25">
      <c r="E1217" s="19"/>
    </row>
    <row r="1218" spans="5:5" x14ac:dyDescent="0.25">
      <c r="E1218" s="19"/>
    </row>
    <row r="1219" spans="5:5" x14ac:dyDescent="0.25">
      <c r="E1219" s="19"/>
    </row>
    <row r="1220" spans="5:5" x14ac:dyDescent="0.25">
      <c r="E1220" s="19"/>
    </row>
    <row r="1221" spans="5:5" x14ac:dyDescent="0.25">
      <c r="E1221" s="19"/>
    </row>
    <row r="1222" spans="5:5" x14ac:dyDescent="0.25">
      <c r="E1222" s="19"/>
    </row>
    <row r="1223" spans="5:5" x14ac:dyDescent="0.25">
      <c r="E1223" s="19"/>
    </row>
    <row r="1224" spans="5:5" x14ac:dyDescent="0.25">
      <c r="E1224" s="19"/>
    </row>
    <row r="1225" spans="5:5" x14ac:dyDescent="0.25">
      <c r="E1225" s="19"/>
    </row>
    <row r="1226" spans="5:5" x14ac:dyDescent="0.25">
      <c r="E1226" s="19"/>
    </row>
    <row r="1227" spans="5:5" x14ac:dyDescent="0.25">
      <c r="E1227" s="19"/>
    </row>
    <row r="1228" spans="5:5" x14ac:dyDescent="0.25">
      <c r="E1228" s="19"/>
    </row>
    <row r="1229" spans="5:5" x14ac:dyDescent="0.25">
      <c r="E1229" s="19"/>
    </row>
    <row r="1230" spans="5:5" x14ac:dyDescent="0.25">
      <c r="E1230" s="19"/>
    </row>
    <row r="1231" spans="5:5" x14ac:dyDescent="0.25">
      <c r="E1231" s="19"/>
    </row>
    <row r="1232" spans="5:5" x14ac:dyDescent="0.25">
      <c r="E1232" s="19"/>
    </row>
    <row r="1233" spans="5:5" x14ac:dyDescent="0.25">
      <c r="E1233" s="19"/>
    </row>
    <row r="1234" spans="5:5" x14ac:dyDescent="0.25">
      <c r="E1234" s="19"/>
    </row>
    <row r="1235" spans="5:5" x14ac:dyDescent="0.25">
      <c r="E1235" s="19"/>
    </row>
    <row r="1236" spans="5:5" x14ac:dyDescent="0.25">
      <c r="E1236" s="19"/>
    </row>
    <row r="1237" spans="5:5" x14ac:dyDescent="0.25">
      <c r="E1237" s="19"/>
    </row>
    <row r="1238" spans="5:5" x14ac:dyDescent="0.25">
      <c r="E1238" s="19"/>
    </row>
    <row r="1239" spans="5:5" x14ac:dyDescent="0.25">
      <c r="E1239" s="19"/>
    </row>
    <row r="1240" spans="5:5" x14ac:dyDescent="0.25">
      <c r="E1240" s="19"/>
    </row>
    <row r="1241" spans="5:5" x14ac:dyDescent="0.25">
      <c r="E1241" s="19"/>
    </row>
    <row r="1242" spans="5:5" x14ac:dyDescent="0.25">
      <c r="E1242" s="19"/>
    </row>
    <row r="1243" spans="5:5" x14ac:dyDescent="0.25">
      <c r="E1243" s="19"/>
    </row>
    <row r="1244" spans="5:5" x14ac:dyDescent="0.25">
      <c r="E1244" s="19"/>
    </row>
    <row r="1245" spans="5:5" x14ac:dyDescent="0.25">
      <c r="E1245" s="19"/>
    </row>
    <row r="1246" spans="5:5" x14ac:dyDescent="0.25">
      <c r="E1246" s="19"/>
    </row>
    <row r="1247" spans="5:5" x14ac:dyDescent="0.25">
      <c r="E1247" s="19"/>
    </row>
    <row r="1248" spans="5:5" x14ac:dyDescent="0.25">
      <c r="E1248" s="19"/>
    </row>
    <row r="1249" spans="5:5" x14ac:dyDescent="0.25">
      <c r="E1249" s="19"/>
    </row>
    <row r="1250" spans="5:5" x14ac:dyDescent="0.25">
      <c r="E1250" s="19"/>
    </row>
    <row r="1251" spans="5:5" x14ac:dyDescent="0.25">
      <c r="E1251" s="19"/>
    </row>
    <row r="1252" spans="5:5" x14ac:dyDescent="0.25">
      <c r="E1252" s="19"/>
    </row>
    <row r="1253" spans="5:5" x14ac:dyDescent="0.25">
      <c r="E1253" s="19"/>
    </row>
    <row r="1254" spans="5:5" x14ac:dyDescent="0.25">
      <c r="E1254" s="19"/>
    </row>
    <row r="1255" spans="5:5" x14ac:dyDescent="0.25">
      <c r="E1255" s="19"/>
    </row>
    <row r="1256" spans="5:5" x14ac:dyDescent="0.25">
      <c r="E1256" s="19"/>
    </row>
    <row r="1257" spans="5:5" x14ac:dyDescent="0.25">
      <c r="E1257" s="19"/>
    </row>
    <row r="1258" spans="5:5" x14ac:dyDescent="0.25">
      <c r="E1258" s="19"/>
    </row>
    <row r="1259" spans="5:5" x14ac:dyDescent="0.25">
      <c r="E1259" s="19"/>
    </row>
    <row r="1260" spans="5:5" x14ac:dyDescent="0.25">
      <c r="E1260" s="19"/>
    </row>
    <row r="1261" spans="5:5" x14ac:dyDescent="0.25">
      <c r="E1261" s="19"/>
    </row>
    <row r="1262" spans="5:5" x14ac:dyDescent="0.25">
      <c r="E1262" s="19"/>
    </row>
    <row r="1263" spans="5:5" x14ac:dyDescent="0.25">
      <c r="E1263" s="19"/>
    </row>
    <row r="1264" spans="5:5" x14ac:dyDescent="0.25">
      <c r="E1264" s="19"/>
    </row>
    <row r="1265" spans="5:5" x14ac:dyDescent="0.25">
      <c r="E1265" s="19"/>
    </row>
    <row r="1266" spans="5:5" x14ac:dyDescent="0.25">
      <c r="E1266" s="19"/>
    </row>
    <row r="1267" spans="5:5" x14ac:dyDescent="0.25">
      <c r="E1267" s="19"/>
    </row>
    <row r="1268" spans="5:5" x14ac:dyDescent="0.25">
      <c r="E1268" s="19"/>
    </row>
    <row r="1269" spans="5:5" x14ac:dyDescent="0.25">
      <c r="E1269" s="19"/>
    </row>
    <row r="1270" spans="5:5" x14ac:dyDescent="0.25">
      <c r="E1270" s="19"/>
    </row>
    <row r="1271" spans="5:5" x14ac:dyDescent="0.25">
      <c r="E1271" s="19"/>
    </row>
    <row r="1272" spans="5:5" x14ac:dyDescent="0.25">
      <c r="E1272" s="19"/>
    </row>
    <row r="1273" spans="5:5" x14ac:dyDescent="0.25">
      <c r="E1273" s="19"/>
    </row>
    <row r="1274" spans="5:5" x14ac:dyDescent="0.25">
      <c r="E1274" s="19"/>
    </row>
    <row r="1275" spans="5:5" x14ac:dyDescent="0.25">
      <c r="E1275" s="19"/>
    </row>
    <row r="1276" spans="5:5" x14ac:dyDescent="0.25">
      <c r="E1276" s="19"/>
    </row>
    <row r="1277" spans="5:5" x14ac:dyDescent="0.25">
      <c r="E1277" s="19"/>
    </row>
    <row r="1278" spans="5:5" x14ac:dyDescent="0.25">
      <c r="E1278" s="19"/>
    </row>
    <row r="1279" spans="5:5" x14ac:dyDescent="0.25">
      <c r="E1279" s="19"/>
    </row>
    <row r="1280" spans="5:5" x14ac:dyDescent="0.25">
      <c r="E1280" s="19"/>
    </row>
    <row r="1281" spans="5:5" x14ac:dyDescent="0.25">
      <c r="E1281" s="19"/>
    </row>
    <row r="1282" spans="5:5" x14ac:dyDescent="0.25">
      <c r="E1282" s="19"/>
    </row>
    <row r="1283" spans="5:5" x14ac:dyDescent="0.25">
      <c r="E1283" s="19"/>
    </row>
    <row r="1284" spans="5:5" x14ac:dyDescent="0.25">
      <c r="E1284" s="19"/>
    </row>
    <row r="1285" spans="5:5" x14ac:dyDescent="0.25">
      <c r="E1285" s="19"/>
    </row>
    <row r="1286" spans="5:5" x14ac:dyDescent="0.25">
      <c r="E1286" s="19"/>
    </row>
    <row r="1287" spans="5:5" x14ac:dyDescent="0.25">
      <c r="E1287" s="19"/>
    </row>
    <row r="1288" spans="5:5" x14ac:dyDescent="0.25">
      <c r="E1288" s="19"/>
    </row>
    <row r="1289" spans="5:5" x14ac:dyDescent="0.25">
      <c r="E1289" s="19"/>
    </row>
    <row r="1290" spans="5:5" x14ac:dyDescent="0.25">
      <c r="E1290" s="19"/>
    </row>
    <row r="1291" spans="5:5" x14ac:dyDescent="0.25">
      <c r="E1291" s="19"/>
    </row>
    <row r="1292" spans="5:5" x14ac:dyDescent="0.25">
      <c r="E1292" s="19"/>
    </row>
    <row r="1293" spans="5:5" x14ac:dyDescent="0.25">
      <c r="E1293" s="19"/>
    </row>
    <row r="1294" spans="5:5" x14ac:dyDescent="0.25">
      <c r="E1294" s="19"/>
    </row>
    <row r="1295" spans="5:5" x14ac:dyDescent="0.25">
      <c r="E1295" s="19"/>
    </row>
    <row r="1296" spans="5:5" x14ac:dyDescent="0.25">
      <c r="E1296" s="19"/>
    </row>
    <row r="1297" spans="5:5" x14ac:dyDescent="0.25">
      <c r="E1297" s="19"/>
    </row>
    <row r="1298" spans="5:5" x14ac:dyDescent="0.25">
      <c r="E1298" s="19"/>
    </row>
    <row r="1299" spans="5:5" x14ac:dyDescent="0.25">
      <c r="E1299" s="19"/>
    </row>
    <row r="1300" spans="5:5" x14ac:dyDescent="0.25">
      <c r="E1300" s="19"/>
    </row>
    <row r="1301" spans="5:5" x14ac:dyDescent="0.25">
      <c r="E1301" s="19"/>
    </row>
    <row r="1302" spans="5:5" x14ac:dyDescent="0.25">
      <c r="E1302" s="19"/>
    </row>
    <row r="1303" spans="5:5" x14ac:dyDescent="0.25">
      <c r="E1303" s="19"/>
    </row>
    <row r="1304" spans="5:5" x14ac:dyDescent="0.25">
      <c r="E1304" s="19"/>
    </row>
    <row r="1305" spans="5:5" x14ac:dyDescent="0.25">
      <c r="E1305" s="19"/>
    </row>
    <row r="1306" spans="5:5" x14ac:dyDescent="0.25">
      <c r="E1306" s="19"/>
    </row>
    <row r="1307" spans="5:5" x14ac:dyDescent="0.25">
      <c r="E1307" s="19"/>
    </row>
    <row r="1308" spans="5:5" x14ac:dyDescent="0.25">
      <c r="E1308" s="19"/>
    </row>
    <row r="1309" spans="5:5" x14ac:dyDescent="0.25">
      <c r="E1309" s="19"/>
    </row>
    <row r="1310" spans="5:5" x14ac:dyDescent="0.25">
      <c r="E1310" s="19"/>
    </row>
    <row r="1311" spans="5:5" x14ac:dyDescent="0.25">
      <c r="E1311" s="19"/>
    </row>
    <row r="1312" spans="5:5" x14ac:dyDescent="0.25">
      <c r="E1312" s="19"/>
    </row>
    <row r="1313" spans="5:5" x14ac:dyDescent="0.25">
      <c r="E1313" s="19"/>
    </row>
    <row r="1314" spans="5:5" x14ac:dyDescent="0.25">
      <c r="E1314" s="19"/>
    </row>
    <row r="1315" spans="5:5" x14ac:dyDescent="0.25">
      <c r="E1315" s="19"/>
    </row>
    <row r="1316" spans="5:5" x14ac:dyDescent="0.25">
      <c r="E1316" s="19"/>
    </row>
    <row r="1317" spans="5:5" x14ac:dyDescent="0.25">
      <c r="E1317" s="19"/>
    </row>
    <row r="1318" spans="5:5" x14ac:dyDescent="0.25">
      <c r="E1318" s="19"/>
    </row>
    <row r="1319" spans="5:5" x14ac:dyDescent="0.25">
      <c r="E1319" s="19"/>
    </row>
    <row r="1320" spans="5:5" x14ac:dyDescent="0.25">
      <c r="E1320" s="19"/>
    </row>
    <row r="1321" spans="5:5" x14ac:dyDescent="0.25">
      <c r="E1321" s="19"/>
    </row>
    <row r="1322" spans="5:5" x14ac:dyDescent="0.25">
      <c r="E1322" s="19"/>
    </row>
    <row r="1323" spans="5:5" x14ac:dyDescent="0.25">
      <c r="E1323" s="19"/>
    </row>
    <row r="1324" spans="5:5" x14ac:dyDescent="0.25">
      <c r="E1324" s="19"/>
    </row>
    <row r="1325" spans="5:5" x14ac:dyDescent="0.25">
      <c r="E1325" s="19"/>
    </row>
    <row r="1326" spans="5:5" x14ac:dyDescent="0.25">
      <c r="E1326" s="19"/>
    </row>
    <row r="1327" spans="5:5" x14ac:dyDescent="0.25">
      <c r="E1327" s="19"/>
    </row>
    <row r="1328" spans="5:5" x14ac:dyDescent="0.25">
      <c r="E1328" s="19"/>
    </row>
    <row r="1329" spans="5:5" x14ac:dyDescent="0.25">
      <c r="E1329" s="19"/>
    </row>
    <row r="1330" spans="5:5" x14ac:dyDescent="0.25">
      <c r="E1330" s="19"/>
    </row>
    <row r="1331" spans="5:5" x14ac:dyDescent="0.25">
      <c r="E1331" s="19"/>
    </row>
    <row r="1332" spans="5:5" x14ac:dyDescent="0.25">
      <c r="E1332" s="19"/>
    </row>
    <row r="1333" spans="5:5" x14ac:dyDescent="0.25">
      <c r="E1333" s="19"/>
    </row>
    <row r="1334" spans="5:5" x14ac:dyDescent="0.25">
      <c r="E1334" s="19"/>
    </row>
    <row r="1335" spans="5:5" x14ac:dyDescent="0.25">
      <c r="E1335" s="19"/>
    </row>
    <row r="1336" spans="5:5" x14ac:dyDescent="0.25">
      <c r="E1336" s="19"/>
    </row>
    <row r="1337" spans="5:5" x14ac:dyDescent="0.25">
      <c r="E1337" s="19"/>
    </row>
    <row r="1338" spans="5:5" x14ac:dyDescent="0.25">
      <c r="E1338" s="19"/>
    </row>
    <row r="1339" spans="5:5" x14ac:dyDescent="0.25">
      <c r="E1339" s="19"/>
    </row>
    <row r="1340" spans="5:5" x14ac:dyDescent="0.25">
      <c r="E1340" s="19"/>
    </row>
    <row r="1341" spans="5:5" x14ac:dyDescent="0.25">
      <c r="E1341" s="19"/>
    </row>
    <row r="1342" spans="5:5" x14ac:dyDescent="0.25">
      <c r="E1342" s="19"/>
    </row>
    <row r="1343" spans="5:5" x14ac:dyDescent="0.25">
      <c r="E1343" s="19"/>
    </row>
    <row r="1344" spans="5:5" x14ac:dyDescent="0.25">
      <c r="E1344" s="19"/>
    </row>
    <row r="1345" spans="5:5" x14ac:dyDescent="0.25">
      <c r="E1345" s="19"/>
    </row>
    <row r="1346" spans="5:5" x14ac:dyDescent="0.25">
      <c r="E1346" s="19"/>
    </row>
    <row r="1347" spans="5:5" x14ac:dyDescent="0.25">
      <c r="E1347" s="19"/>
    </row>
    <row r="1348" spans="5:5" x14ac:dyDescent="0.25">
      <c r="E1348" s="19"/>
    </row>
    <row r="1349" spans="5:5" x14ac:dyDescent="0.25">
      <c r="E1349" s="19"/>
    </row>
    <row r="1350" spans="5:5" x14ac:dyDescent="0.25">
      <c r="E1350" s="19"/>
    </row>
    <row r="1351" spans="5:5" x14ac:dyDescent="0.25">
      <c r="E1351" s="19"/>
    </row>
    <row r="1352" spans="5:5" x14ac:dyDescent="0.25">
      <c r="E1352" s="19"/>
    </row>
    <row r="1353" spans="5:5" x14ac:dyDescent="0.25">
      <c r="E1353" s="19"/>
    </row>
    <row r="1354" spans="5:5" x14ac:dyDescent="0.25">
      <c r="E1354" s="19"/>
    </row>
    <row r="1355" spans="5:5" x14ac:dyDescent="0.25">
      <c r="E1355" s="19"/>
    </row>
    <row r="1356" spans="5:5" x14ac:dyDescent="0.25">
      <c r="E1356" s="19"/>
    </row>
    <row r="1357" spans="5:5" x14ac:dyDescent="0.25">
      <c r="E1357" s="19"/>
    </row>
    <row r="1358" spans="5:5" x14ac:dyDescent="0.25">
      <c r="E1358" s="19"/>
    </row>
    <row r="1359" spans="5:5" x14ac:dyDescent="0.25">
      <c r="E1359" s="19"/>
    </row>
    <row r="1360" spans="5:5" x14ac:dyDescent="0.25">
      <c r="E1360" s="19"/>
    </row>
    <row r="1361" spans="5:5" x14ac:dyDescent="0.25">
      <c r="E1361" s="19"/>
    </row>
    <row r="1362" spans="5:5" x14ac:dyDescent="0.25">
      <c r="E1362" s="19"/>
    </row>
    <row r="1363" spans="5:5" x14ac:dyDescent="0.25">
      <c r="E1363" s="19"/>
    </row>
    <row r="1364" spans="5:5" x14ac:dyDescent="0.25">
      <c r="E1364" s="19"/>
    </row>
    <row r="1365" spans="5:5" x14ac:dyDescent="0.25">
      <c r="E1365" s="19"/>
    </row>
    <row r="1366" spans="5:5" x14ac:dyDescent="0.25">
      <c r="E1366" s="19"/>
    </row>
    <row r="1367" spans="5:5" x14ac:dyDescent="0.25">
      <c r="E1367" s="19"/>
    </row>
    <row r="1368" spans="5:5" x14ac:dyDescent="0.25">
      <c r="E1368" s="19"/>
    </row>
    <row r="1369" spans="5:5" x14ac:dyDescent="0.25">
      <c r="E1369" s="19"/>
    </row>
    <row r="1370" spans="5:5" x14ac:dyDescent="0.25">
      <c r="E1370" s="19"/>
    </row>
    <row r="1371" spans="5:5" x14ac:dyDescent="0.25">
      <c r="E1371" s="19"/>
    </row>
    <row r="1372" spans="5:5" x14ac:dyDescent="0.25">
      <c r="E1372" s="19"/>
    </row>
    <row r="1373" spans="5:5" x14ac:dyDescent="0.25">
      <c r="E1373" s="19"/>
    </row>
    <row r="1374" spans="5:5" x14ac:dyDescent="0.25">
      <c r="E1374" s="19"/>
    </row>
    <row r="1375" spans="5:5" x14ac:dyDescent="0.25">
      <c r="E1375" s="19"/>
    </row>
    <row r="1376" spans="5:5" x14ac:dyDescent="0.25">
      <c r="E1376" s="19"/>
    </row>
    <row r="1377" spans="5:5" x14ac:dyDescent="0.25">
      <c r="E1377" s="19"/>
    </row>
    <row r="1378" spans="5:5" x14ac:dyDescent="0.25">
      <c r="E1378" s="19"/>
    </row>
    <row r="1379" spans="5:5" x14ac:dyDescent="0.25">
      <c r="E1379" s="19"/>
    </row>
    <row r="1380" spans="5:5" x14ac:dyDescent="0.25">
      <c r="E1380" s="19"/>
    </row>
    <row r="1381" spans="5:5" x14ac:dyDescent="0.25">
      <c r="E1381" s="19"/>
    </row>
    <row r="1382" spans="5:5" x14ac:dyDescent="0.25">
      <c r="E1382" s="19"/>
    </row>
    <row r="1383" spans="5:5" x14ac:dyDescent="0.25">
      <c r="E1383" s="19"/>
    </row>
    <row r="1384" spans="5:5" x14ac:dyDescent="0.25">
      <c r="E1384" s="19"/>
    </row>
    <row r="1385" spans="5:5" x14ac:dyDescent="0.25">
      <c r="E1385" s="19"/>
    </row>
    <row r="1386" spans="5:5" x14ac:dyDescent="0.25">
      <c r="E1386" s="19"/>
    </row>
    <row r="1387" spans="5:5" x14ac:dyDescent="0.25">
      <c r="E1387" s="19"/>
    </row>
    <row r="1388" spans="5:5" x14ac:dyDescent="0.25">
      <c r="E1388" s="19"/>
    </row>
    <row r="1389" spans="5:5" x14ac:dyDescent="0.25">
      <c r="E1389" s="19"/>
    </row>
    <row r="1390" spans="5:5" x14ac:dyDescent="0.25">
      <c r="E1390" s="19"/>
    </row>
    <row r="1391" spans="5:5" x14ac:dyDescent="0.25">
      <c r="E1391" s="19"/>
    </row>
    <row r="1392" spans="5:5" x14ac:dyDescent="0.25">
      <c r="E1392" s="19"/>
    </row>
    <row r="1393" spans="5:5" x14ac:dyDescent="0.25">
      <c r="E1393" s="19"/>
    </row>
    <row r="1394" spans="5:5" x14ac:dyDescent="0.25">
      <c r="E1394" s="19"/>
    </row>
    <row r="1395" spans="5:5" x14ac:dyDescent="0.25">
      <c r="E1395" s="19"/>
    </row>
    <row r="1396" spans="5:5" x14ac:dyDescent="0.25">
      <c r="E1396" s="19"/>
    </row>
    <row r="1397" spans="5:5" x14ac:dyDescent="0.25">
      <c r="E1397" s="19"/>
    </row>
    <row r="1398" spans="5:5" x14ac:dyDescent="0.25">
      <c r="E1398" s="19"/>
    </row>
    <row r="1399" spans="5:5" x14ac:dyDescent="0.25">
      <c r="E1399" s="19"/>
    </row>
    <row r="1400" spans="5:5" x14ac:dyDescent="0.25">
      <c r="E1400" s="19"/>
    </row>
    <row r="1401" spans="5:5" x14ac:dyDescent="0.25">
      <c r="E1401" s="19"/>
    </row>
    <row r="1402" spans="5:5" x14ac:dyDescent="0.25">
      <c r="E1402" s="19"/>
    </row>
    <row r="1403" spans="5:5" x14ac:dyDescent="0.25">
      <c r="E1403" s="19"/>
    </row>
    <row r="1404" spans="5:5" x14ac:dyDescent="0.25">
      <c r="E1404" s="19"/>
    </row>
    <row r="1405" spans="5:5" x14ac:dyDescent="0.25">
      <c r="E1405" s="19"/>
    </row>
    <row r="1406" spans="5:5" x14ac:dyDescent="0.25">
      <c r="E1406" s="19"/>
    </row>
    <row r="1407" spans="5:5" x14ac:dyDescent="0.25">
      <c r="E1407" s="19"/>
    </row>
    <row r="1408" spans="5:5" x14ac:dyDescent="0.25">
      <c r="E1408" s="19"/>
    </row>
    <row r="1409" spans="5:5" x14ac:dyDescent="0.25">
      <c r="E1409" s="19"/>
    </row>
    <row r="1410" spans="5:5" x14ac:dyDescent="0.25">
      <c r="E1410" s="19"/>
    </row>
    <row r="1411" spans="5:5" x14ac:dyDescent="0.25">
      <c r="E1411" s="19"/>
    </row>
    <row r="1412" spans="5:5" x14ac:dyDescent="0.25">
      <c r="E1412" s="19"/>
    </row>
    <row r="1413" spans="5:5" x14ac:dyDescent="0.25">
      <c r="E1413" s="19"/>
    </row>
    <row r="1414" spans="5:5" x14ac:dyDescent="0.25">
      <c r="E1414" s="19"/>
    </row>
    <row r="1415" spans="5:5" x14ac:dyDescent="0.25">
      <c r="E1415" s="19"/>
    </row>
    <row r="1416" spans="5:5" x14ac:dyDescent="0.25">
      <c r="E1416" s="19"/>
    </row>
    <row r="1417" spans="5:5" x14ac:dyDescent="0.25">
      <c r="E1417" s="19"/>
    </row>
    <row r="1418" spans="5:5" x14ac:dyDescent="0.25">
      <c r="E1418" s="19"/>
    </row>
    <row r="1419" spans="5:5" x14ac:dyDescent="0.25">
      <c r="E1419" s="19"/>
    </row>
    <row r="1420" spans="5:5" x14ac:dyDescent="0.25">
      <c r="E1420" s="19"/>
    </row>
    <row r="1421" spans="5:5" x14ac:dyDescent="0.25">
      <c r="E1421" s="19"/>
    </row>
    <row r="1422" spans="5:5" x14ac:dyDescent="0.25">
      <c r="E1422" s="19"/>
    </row>
    <row r="1423" spans="5:5" x14ac:dyDescent="0.25">
      <c r="E1423" s="19"/>
    </row>
    <row r="1424" spans="5:5" x14ac:dyDescent="0.25">
      <c r="E1424" s="19"/>
    </row>
    <row r="1425" spans="5:5" x14ac:dyDescent="0.25">
      <c r="E1425" s="19"/>
    </row>
    <row r="1426" spans="5:5" x14ac:dyDescent="0.25">
      <c r="E1426" s="19"/>
    </row>
    <row r="1427" spans="5:5" x14ac:dyDescent="0.25">
      <c r="E1427" s="19"/>
    </row>
    <row r="1428" spans="5:5" x14ac:dyDescent="0.25">
      <c r="E1428" s="19"/>
    </row>
    <row r="1429" spans="5:5" x14ac:dyDescent="0.25">
      <c r="E1429" s="19"/>
    </row>
    <row r="1430" spans="5:5" x14ac:dyDescent="0.25">
      <c r="E1430" s="19"/>
    </row>
    <row r="1431" spans="5:5" x14ac:dyDescent="0.25">
      <c r="E1431" s="19"/>
    </row>
    <row r="1432" spans="5:5" x14ac:dyDescent="0.25">
      <c r="E1432" s="19"/>
    </row>
    <row r="1433" spans="5:5" x14ac:dyDescent="0.25">
      <c r="E1433" s="19"/>
    </row>
    <row r="1434" spans="5:5" x14ac:dyDescent="0.25">
      <c r="E1434" s="19"/>
    </row>
    <row r="1435" spans="5:5" x14ac:dyDescent="0.25">
      <c r="E1435" s="19"/>
    </row>
    <row r="1436" spans="5:5" x14ac:dyDescent="0.25">
      <c r="E1436" s="19"/>
    </row>
    <row r="1437" spans="5:5" x14ac:dyDescent="0.25">
      <c r="E1437" s="19"/>
    </row>
    <row r="1438" spans="5:5" x14ac:dyDescent="0.25">
      <c r="E1438" s="19"/>
    </row>
    <row r="1439" spans="5:5" x14ac:dyDescent="0.25">
      <c r="E1439" s="19"/>
    </row>
    <row r="1440" spans="5:5" x14ac:dyDescent="0.25">
      <c r="E1440" s="19"/>
    </row>
    <row r="1441" spans="5:5" x14ac:dyDescent="0.25">
      <c r="E1441" s="19"/>
    </row>
    <row r="1442" spans="5:5" x14ac:dyDescent="0.25">
      <c r="E1442" s="19"/>
    </row>
    <row r="1443" spans="5:5" x14ac:dyDescent="0.25">
      <c r="E1443" s="19"/>
    </row>
    <row r="1444" spans="5:5" x14ac:dyDescent="0.25">
      <c r="E1444" s="19"/>
    </row>
    <row r="1445" spans="5:5" x14ac:dyDescent="0.25">
      <c r="E1445" s="19"/>
    </row>
    <row r="1446" spans="5:5" x14ac:dyDescent="0.25">
      <c r="E1446" s="19"/>
    </row>
    <row r="1447" spans="5:5" x14ac:dyDescent="0.25">
      <c r="E1447" s="19"/>
    </row>
    <row r="1448" spans="5:5" x14ac:dyDescent="0.25">
      <c r="E1448" s="19"/>
    </row>
    <row r="1449" spans="5:5" x14ac:dyDescent="0.25">
      <c r="E1449" s="19"/>
    </row>
    <row r="1450" spans="5:5" x14ac:dyDescent="0.25">
      <c r="E1450" s="19"/>
    </row>
    <row r="1451" spans="5:5" x14ac:dyDescent="0.25">
      <c r="E1451" s="19"/>
    </row>
    <row r="1452" spans="5:5" x14ac:dyDescent="0.25">
      <c r="E1452" s="19"/>
    </row>
    <row r="1453" spans="5:5" x14ac:dyDescent="0.25">
      <c r="E1453" s="19"/>
    </row>
    <row r="1454" spans="5:5" x14ac:dyDescent="0.25">
      <c r="E1454" s="19"/>
    </row>
    <row r="1455" spans="5:5" x14ac:dyDescent="0.25">
      <c r="E1455" s="19"/>
    </row>
    <row r="1456" spans="5:5" x14ac:dyDescent="0.25">
      <c r="E1456" s="19"/>
    </row>
    <row r="1457" spans="5:5" x14ac:dyDescent="0.25">
      <c r="E1457" s="19"/>
    </row>
    <row r="1458" spans="5:5" x14ac:dyDescent="0.25">
      <c r="E1458" s="19"/>
    </row>
    <row r="1459" spans="5:5" x14ac:dyDescent="0.25">
      <c r="E1459" s="19"/>
    </row>
    <row r="1460" spans="5:5" x14ac:dyDescent="0.25">
      <c r="E1460" s="19"/>
    </row>
    <row r="1461" spans="5:5" x14ac:dyDescent="0.25">
      <c r="E1461" s="19"/>
    </row>
    <row r="1462" spans="5:5" x14ac:dyDescent="0.25">
      <c r="E1462" s="19"/>
    </row>
    <row r="1463" spans="5:5" x14ac:dyDescent="0.25">
      <c r="E1463" s="19"/>
    </row>
    <row r="1464" spans="5:5" x14ac:dyDescent="0.25">
      <c r="E1464" s="19"/>
    </row>
    <row r="1465" spans="5:5" x14ac:dyDescent="0.25">
      <c r="E1465" s="19"/>
    </row>
    <row r="1466" spans="5:5" x14ac:dyDescent="0.25">
      <c r="E1466" s="19"/>
    </row>
    <row r="1467" spans="5:5" x14ac:dyDescent="0.25">
      <c r="E1467" s="19"/>
    </row>
    <row r="1468" spans="5:5" x14ac:dyDescent="0.25">
      <c r="E1468" s="19"/>
    </row>
    <row r="1469" spans="5:5" x14ac:dyDescent="0.25">
      <c r="E1469" s="19"/>
    </row>
    <row r="1470" spans="5:5" x14ac:dyDescent="0.25">
      <c r="E1470" s="19"/>
    </row>
    <row r="1471" spans="5:5" x14ac:dyDescent="0.25">
      <c r="E1471" s="19"/>
    </row>
    <row r="1472" spans="5:5" x14ac:dyDescent="0.25">
      <c r="E1472" s="19"/>
    </row>
    <row r="1473" spans="5:5" x14ac:dyDescent="0.25">
      <c r="E1473" s="19"/>
    </row>
    <row r="1474" spans="5:5" x14ac:dyDescent="0.25">
      <c r="E1474" s="19"/>
    </row>
    <row r="1475" spans="5:5" x14ac:dyDescent="0.25">
      <c r="E1475" s="19"/>
    </row>
    <row r="1476" spans="5:5" x14ac:dyDescent="0.25">
      <c r="E1476" s="19"/>
    </row>
    <row r="1477" spans="5:5" x14ac:dyDescent="0.25">
      <c r="E1477" s="19"/>
    </row>
    <row r="1478" spans="5:5" x14ac:dyDescent="0.25">
      <c r="E1478" s="19"/>
    </row>
    <row r="1479" spans="5:5" x14ac:dyDescent="0.25">
      <c r="E1479" s="19"/>
    </row>
    <row r="1480" spans="5:5" x14ac:dyDescent="0.25">
      <c r="E1480" s="19"/>
    </row>
    <row r="1481" spans="5:5" x14ac:dyDescent="0.25">
      <c r="E1481" s="19"/>
    </row>
    <row r="1482" spans="5:5" x14ac:dyDescent="0.25">
      <c r="E1482" s="19"/>
    </row>
    <row r="1483" spans="5:5" x14ac:dyDescent="0.25">
      <c r="E1483" s="19"/>
    </row>
    <row r="1484" spans="5:5" x14ac:dyDescent="0.25">
      <c r="E1484" s="19"/>
    </row>
    <row r="1485" spans="5:5" x14ac:dyDescent="0.25">
      <c r="E1485" s="19"/>
    </row>
    <row r="1486" spans="5:5" x14ac:dyDescent="0.25">
      <c r="E1486" s="19"/>
    </row>
    <row r="1487" spans="5:5" x14ac:dyDescent="0.25">
      <c r="E1487" s="19"/>
    </row>
    <row r="1488" spans="5:5" x14ac:dyDescent="0.25">
      <c r="E1488" s="19"/>
    </row>
    <row r="1489" spans="5:5" x14ac:dyDescent="0.25">
      <c r="E1489" s="19"/>
    </row>
    <row r="1490" spans="5:5" x14ac:dyDescent="0.25">
      <c r="E1490" s="19"/>
    </row>
    <row r="1491" spans="5:5" x14ac:dyDescent="0.25">
      <c r="E1491" s="19"/>
    </row>
    <row r="1492" spans="5:5" x14ac:dyDescent="0.25">
      <c r="E1492" s="19"/>
    </row>
    <row r="1493" spans="5:5" x14ac:dyDescent="0.25">
      <c r="E1493" s="21"/>
    </row>
    <row r="1494" spans="5:5" x14ac:dyDescent="0.25">
      <c r="E1494" s="19"/>
    </row>
    <row r="1495" spans="5:5" x14ac:dyDescent="0.25">
      <c r="E1495" s="19"/>
    </row>
  </sheetData>
  <dataValidations xWindow="223" yWindow="354" count="9">
    <dataValidation type="time" allowBlank="1" showErrorMessage="1" errorTitle="Time Error" error="Time must be during normal library hours." promptTitle="Start Time" prompt="Enter time that program begins for the public: HH:MM PM" sqref="F526:F999">
      <formula1>0.333333333333333</formula1>
      <formula2>0.916666666666667</formula2>
    </dataValidation>
    <dataValidation type="textLength" allowBlank="1" showErrorMessage="1" errorTitle="Too Long" error="Please use a shorter description. Add more details in the MORE INFORMATION columns." sqref="H3:H14 H16:H40 H42:H43 H45:H46 H48:H49 H51:H366">
      <formula1>0</formula1>
      <formula2>650</formula2>
    </dataValidation>
    <dataValidation type="date" allowBlank="1" showErrorMessage="1" errorTitle="Invalid Date" sqref="C251:C459">
      <formula1>41275</formula1>
      <formula2>50405</formula2>
    </dataValidation>
    <dataValidation type="time" allowBlank="1" showErrorMessage="1" errorTitle="Invalid" error="Enter the time this program begins for the public." sqref="E251:E521">
      <formula1>0</formula1>
      <formula2>0.999305555555556</formula2>
    </dataValidation>
    <dataValidation type="time" allowBlank="1" showErrorMessage="1" errorTitle="Time Error" error="Enter approximate time the event will end. " promptTitle="Start Time" prompt="Enter time that program begins for the public: HH:MM PM" sqref="F251:F525">
      <formula1>0</formula1>
      <formula2>0.999305555555556</formula2>
    </dataValidation>
    <dataValidation type="textLength" allowBlank="1" showErrorMessage="1" errorTitle="Program Title" error="Please use fewer than 50 characters in your title." sqref="G2:G381">
      <formula1>1</formula1>
      <formula2>75</formula2>
    </dataValidation>
    <dataValidation type="time" allowBlank="1" showErrorMessage="1" errorTitle="Invalid" error="Enter the time this program begins for the public." sqref="E2:E250">
      <formula1>0.375</formula1>
      <formula2>0.875</formula2>
    </dataValidation>
    <dataValidation type="time" allowBlank="1" showErrorMessage="1" errorTitle="Time Error" error="Enter approximate time the event will end. " promptTitle="Start Time" prompt="Enter time that program begins for the public: HH:MM PM" sqref="F2:F250">
      <formula1>0.375</formula1>
      <formula2>0.875</formula2>
    </dataValidation>
    <dataValidation type="date" allowBlank="1" showInputMessage="1" showErrorMessage="1" sqref="C2:C250">
      <formula1>41671</formula1>
      <formula2>41912</formula2>
    </dataValidation>
  </dataValidations>
  <pageMargins left="0.25" right="0.25"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xWindow="223" yWindow="354" count="5">
        <x14:dataValidation type="list" allowBlank="1" showInputMessage="1" showErrorMessage="1">
          <x14:formula1>
            <xm:f>TOPICALAREAS!$A$2:$A$73</xm:f>
          </x14:formula1>
          <xm:sqref>I2:O2 I165:L997 N201:N344 M201:M343 M356:M980 O3:O153 I3:N164</xm:sqref>
        </x14:dataValidation>
        <x14:dataValidation type="list" allowBlank="1" showErrorMessage="1" errorTitle="Invalid Branch" error="Must choose from branch locations listed. If event is off-site, indicate in comments.">
          <x14:formula1>
            <xm:f>CONTACTS!$A$2:$A$133</xm:f>
          </x14:formula1>
          <xm:sqref>B2:B999</xm:sqref>
        </x14:dataValidation>
        <x14:dataValidation type="list" errorStyle="information" allowBlank="1" showInputMessage="1" showErrorMessage="1">
          <x14:formula1>
            <xm:f>DETAILS!$D$2:$D$5</xm:f>
          </x14:formula1>
          <xm:sqref>S2 S4 S6 S8 S10 S12 S14 S16 S18 S20 S22 S24 S26 S28 S30 S32 S34 S36 S38 S40 S42 S44 S46 S48 S50 S52 S54 S56 S58 S60 S62 S64 S66 S68 S70 S72 S74 S76 S78 S80 S82 S84 S86 S88 S90 S92 S94 S96 S98 S100 S102 S104 S106 S108 S110 S112 S114 S116 S118 S120 S122 S124 S126 S128 S130 S132 S134 S136 S138 S140 S142 S144 S146 S148 S150 S152 S154 S156 S158 S160 S162 S164 S166 S168 S170 S172 S174 S176 S178 S180 S182 S184 S186 S188 S190 S192 S194 S196 S198 S200 S202 S204 S206 S208 S210 S212 S214 S216 S218 S220 S222 S224 S226 S228 S230 S232 S234 S236 S238 S240 S242 S244 S246 S248 S250 S252 S254 S256 S258 S260 S262 S264 S266 S268 S270 S272 S274 S276 S278 S280 S282 S284 S286 S288 S290 S292 S294 S296 S298 S300 S302 S304 S306 S308 S310 S312 S314 S316 S318 S320 S322 S324 S326 S328 S330 S332 S334 S336 S338 S340 S342 S344 S346 S348 S350 S352 S354 S356 S358 S360 S362 S364 S366 S368 S370 S372 S374 S376 S378 S380 S382 S384 S386 S388 S390 S392 S394 S396 S398 S400 S402 S404 S406 S408 S410 S412 S414 S416 S418 S420 S422 S424 S426 S428 S430 S432 S434 S436 S438 S440 S442 S444 S446 S448 S450 S452 S454 S456 S458 S460 S462 S464 S466 S468 S470 S472 S474 S476 S478 S480 S482 S484 S486 S488 S490 S492 S494 S496 S498 S500 S502 S504 S506 S508 S510 S512 S514 S516 S518 S520 S522 S524 S526 S528 S530 S532 S534 S536 S538 S540 S542 S544 S546 S548 S550 S552 S554 S556 S558 S560 S562 S564 S566 S568 S570 S572 S574 S576 S578 S580 S582 S584 S586 S588 S590 S592 S594 S596 S598 S600 S602 S604 S606 S608 S610 S612 S614 S616 S618 S620 S622 S624 S626 S628 S630</xm:sqref>
        </x14:dataValidation>
        <x14:dataValidation type="list" errorStyle="warning" allowBlank="1" showErrorMessage="1" errorTitle="Please use audience from list.">
          <x14:formula1>
            <xm:f>DETAILS!$B$2:$B$6</xm:f>
          </x14:formula1>
          <xm:sqref>P2:P535 Q354:Q535</xm:sqref>
        </x14:dataValidation>
        <x14:dataValidation type="list" errorStyle="warning" allowBlank="1" showErrorMessage="1" errorTitle="Please use audience from list.">
          <x14:formula1>
            <xm:f>DETAILS!$C$2:$C$15</xm:f>
          </x14:formula1>
          <xm:sqref>Q2:Q353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5"/>
  <sheetViews>
    <sheetView workbookViewId="0">
      <pane ySplit="1" topLeftCell="A31" activePane="bottomLeft" state="frozen"/>
      <selection pane="bottomLeft" activeCell="A45" sqref="A45"/>
    </sheetView>
  </sheetViews>
  <sheetFormatPr defaultRowHeight="15" x14ac:dyDescent="0.25"/>
  <cols>
    <col min="1" max="1" width="37.28515625" bestFit="1" customWidth="1"/>
    <col min="2" max="2" width="41.7109375" bestFit="1" customWidth="1"/>
  </cols>
  <sheetData>
    <row r="1" spans="1:2" x14ac:dyDescent="0.25">
      <c r="A1" s="2" t="s">
        <v>90</v>
      </c>
      <c r="B1" s="2" t="s">
        <v>91</v>
      </c>
    </row>
    <row r="2" spans="1:2" x14ac:dyDescent="0.25">
      <c r="A2" t="s">
        <v>22</v>
      </c>
      <c r="B2" t="s">
        <v>23</v>
      </c>
    </row>
    <row r="3" spans="1:2" x14ac:dyDescent="0.25">
      <c r="A3" t="s">
        <v>24</v>
      </c>
      <c r="B3" t="s">
        <v>25</v>
      </c>
    </row>
    <row r="4" spans="1:2" x14ac:dyDescent="0.25">
      <c r="A4" t="s">
        <v>26</v>
      </c>
      <c r="B4" t="s">
        <v>27</v>
      </c>
    </row>
    <row r="5" spans="1:2" x14ac:dyDescent="0.25">
      <c r="A5" t="s">
        <v>6</v>
      </c>
      <c r="B5" t="s">
        <v>28</v>
      </c>
    </row>
    <row r="6" spans="1:2" x14ac:dyDescent="0.25">
      <c r="A6" t="s">
        <v>4</v>
      </c>
      <c r="B6" t="s">
        <v>29</v>
      </c>
    </row>
    <row r="7" spans="1:2" x14ac:dyDescent="0.25">
      <c r="A7" t="s">
        <v>30</v>
      </c>
      <c r="B7" t="s">
        <v>31</v>
      </c>
    </row>
    <row r="8" spans="1:2" x14ac:dyDescent="0.25">
      <c r="A8" t="s">
        <v>32</v>
      </c>
      <c r="B8" t="s">
        <v>33</v>
      </c>
    </row>
    <row r="9" spans="1:2" x14ac:dyDescent="0.25">
      <c r="A9" t="s">
        <v>34</v>
      </c>
      <c r="B9" t="s">
        <v>35</v>
      </c>
    </row>
    <row r="10" spans="1:2" x14ac:dyDescent="0.25">
      <c r="A10" t="s">
        <v>36</v>
      </c>
      <c r="B10" t="s">
        <v>37</v>
      </c>
    </row>
    <row r="11" spans="1:2" x14ac:dyDescent="0.25">
      <c r="A11" t="s">
        <v>38</v>
      </c>
      <c r="B11" t="s">
        <v>39</v>
      </c>
    </row>
    <row r="12" spans="1:2" x14ac:dyDescent="0.25">
      <c r="A12" t="s">
        <v>40</v>
      </c>
      <c r="B12" t="s">
        <v>41</v>
      </c>
    </row>
    <row r="13" spans="1:2" x14ac:dyDescent="0.25">
      <c r="A13" t="s">
        <v>42</v>
      </c>
      <c r="B13" t="s">
        <v>43</v>
      </c>
    </row>
    <row r="14" spans="1:2" x14ac:dyDescent="0.25">
      <c r="A14" t="s">
        <v>44</v>
      </c>
      <c r="B14" t="s">
        <v>45</v>
      </c>
    </row>
    <row r="15" spans="1:2" x14ac:dyDescent="0.25">
      <c r="A15" t="s">
        <v>15</v>
      </c>
      <c r="B15" t="s">
        <v>46</v>
      </c>
    </row>
    <row r="16" spans="1:2" x14ac:dyDescent="0.25">
      <c r="A16" t="s">
        <v>16</v>
      </c>
      <c r="B16" t="s">
        <v>47</v>
      </c>
    </row>
    <row r="17" spans="1:2" x14ac:dyDescent="0.25">
      <c r="A17" t="s">
        <v>48</v>
      </c>
      <c r="B17" t="s">
        <v>49</v>
      </c>
    </row>
    <row r="18" spans="1:2" x14ac:dyDescent="0.25">
      <c r="A18" t="s">
        <v>14</v>
      </c>
      <c r="B18" t="s">
        <v>50</v>
      </c>
    </row>
    <row r="19" spans="1:2" x14ac:dyDescent="0.25">
      <c r="A19" t="s">
        <v>7</v>
      </c>
      <c r="B19" t="s">
        <v>51</v>
      </c>
    </row>
    <row r="20" spans="1:2" x14ac:dyDescent="0.25">
      <c r="A20" t="s">
        <v>5</v>
      </c>
      <c r="B20" t="s">
        <v>52</v>
      </c>
    </row>
    <row r="21" spans="1:2" x14ac:dyDescent="0.25">
      <c r="A21" t="s">
        <v>53</v>
      </c>
      <c r="B21" t="s">
        <v>54</v>
      </c>
    </row>
    <row r="22" spans="1:2" x14ac:dyDescent="0.25">
      <c r="A22" t="s">
        <v>0</v>
      </c>
      <c r="B22" t="s">
        <v>55</v>
      </c>
    </row>
    <row r="23" spans="1:2" x14ac:dyDescent="0.25">
      <c r="A23" t="s">
        <v>9</v>
      </c>
      <c r="B23" t="s">
        <v>56</v>
      </c>
    </row>
    <row r="24" spans="1:2" x14ac:dyDescent="0.25">
      <c r="A24" t="s">
        <v>3</v>
      </c>
      <c r="B24" t="s">
        <v>57</v>
      </c>
    </row>
    <row r="25" spans="1:2" x14ac:dyDescent="0.25">
      <c r="A25" t="s">
        <v>12</v>
      </c>
      <c r="B25" t="s">
        <v>58</v>
      </c>
    </row>
    <row r="26" spans="1:2" x14ac:dyDescent="0.25">
      <c r="A26" t="s">
        <v>59</v>
      </c>
      <c r="B26" t="s">
        <v>60</v>
      </c>
    </row>
    <row r="27" spans="1:2" x14ac:dyDescent="0.25">
      <c r="A27" t="s">
        <v>17</v>
      </c>
      <c r="B27" t="s">
        <v>61</v>
      </c>
    </row>
    <row r="28" spans="1:2" x14ac:dyDescent="0.25">
      <c r="A28" t="s">
        <v>8</v>
      </c>
      <c r="B28" t="s">
        <v>62</v>
      </c>
    </row>
    <row r="29" spans="1:2" x14ac:dyDescent="0.25">
      <c r="A29" t="s">
        <v>63</v>
      </c>
      <c r="B29" t="s">
        <v>64</v>
      </c>
    </row>
    <row r="30" spans="1:2" x14ac:dyDescent="0.25">
      <c r="A30" t="s">
        <v>65</v>
      </c>
      <c r="B30" t="s">
        <v>66</v>
      </c>
    </row>
    <row r="31" spans="1:2" x14ac:dyDescent="0.25">
      <c r="A31" t="s">
        <v>67</v>
      </c>
      <c r="B31" t="s">
        <v>68</v>
      </c>
    </row>
    <row r="32" spans="1:2" x14ac:dyDescent="0.25">
      <c r="A32" t="s">
        <v>13</v>
      </c>
      <c r="B32" t="s">
        <v>69</v>
      </c>
    </row>
    <row r="33" spans="1:2" x14ac:dyDescent="0.25">
      <c r="A33" t="s">
        <v>70</v>
      </c>
      <c r="B33" t="s">
        <v>71</v>
      </c>
    </row>
    <row r="34" spans="1:2" x14ac:dyDescent="0.25">
      <c r="A34" t="s">
        <v>1</v>
      </c>
      <c r="B34" t="s">
        <v>72</v>
      </c>
    </row>
    <row r="35" spans="1:2" x14ac:dyDescent="0.25">
      <c r="A35" t="s">
        <v>73</v>
      </c>
      <c r="B35" t="s">
        <v>74</v>
      </c>
    </row>
    <row r="36" spans="1:2" x14ac:dyDescent="0.25">
      <c r="A36" t="s">
        <v>11</v>
      </c>
      <c r="B36" t="s">
        <v>75</v>
      </c>
    </row>
    <row r="37" spans="1:2" x14ac:dyDescent="0.25">
      <c r="A37" t="s">
        <v>2</v>
      </c>
      <c r="B37" t="s">
        <v>76</v>
      </c>
    </row>
    <row r="38" spans="1:2" x14ac:dyDescent="0.25">
      <c r="A38" t="s">
        <v>10</v>
      </c>
      <c r="B38" t="s">
        <v>77</v>
      </c>
    </row>
    <row r="39" spans="1:2" x14ac:dyDescent="0.25">
      <c r="A39" t="s">
        <v>78</v>
      </c>
      <c r="B39" t="s">
        <v>79</v>
      </c>
    </row>
    <row r="40" spans="1:2" x14ac:dyDescent="0.25">
      <c r="A40" t="s">
        <v>80</v>
      </c>
      <c r="B40" t="s">
        <v>81</v>
      </c>
    </row>
    <row r="41" spans="1:2" x14ac:dyDescent="0.25">
      <c r="A41" t="s">
        <v>82</v>
      </c>
      <c r="B41" t="s">
        <v>83</v>
      </c>
    </row>
    <row r="42" spans="1:2" x14ac:dyDescent="0.25">
      <c r="A42" t="s">
        <v>20</v>
      </c>
      <c r="B42" t="s">
        <v>84</v>
      </c>
    </row>
    <row r="43" spans="1:2" x14ac:dyDescent="0.25">
      <c r="A43" t="s">
        <v>85</v>
      </c>
      <c r="B43" t="s">
        <v>86</v>
      </c>
    </row>
    <row r="44" spans="1:2" x14ac:dyDescent="0.25">
      <c r="A44" t="s">
        <v>18</v>
      </c>
      <c r="B44" t="s">
        <v>87</v>
      </c>
    </row>
    <row r="45" spans="1:2" x14ac:dyDescent="0.25">
      <c r="A45" t="s">
        <v>88</v>
      </c>
      <c r="B45" t="s">
        <v>89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7"/>
  <sheetViews>
    <sheetView workbookViewId="0">
      <pane ySplit="1" topLeftCell="A20" activePane="bottomLeft" state="frozen"/>
      <selection pane="bottomLeft" activeCell="B36" sqref="B36"/>
    </sheetView>
  </sheetViews>
  <sheetFormatPr defaultRowHeight="15" x14ac:dyDescent="0.25"/>
  <cols>
    <col min="1" max="1" width="30.140625" customWidth="1"/>
    <col min="2" max="2" width="30.140625" bestFit="1" customWidth="1"/>
    <col min="3" max="3" width="41" bestFit="1" customWidth="1"/>
  </cols>
  <sheetData>
    <row r="1" spans="1:3" x14ac:dyDescent="0.25">
      <c r="A1" s="2" t="s">
        <v>151</v>
      </c>
      <c r="B1" s="2" t="s">
        <v>149</v>
      </c>
      <c r="C1" s="2" t="s">
        <v>150</v>
      </c>
    </row>
    <row r="2" spans="1:3" x14ac:dyDescent="0.25">
      <c r="A2" t="str">
        <f t="shared" ref="A2:A37" si="0">IF(RIGHT(B2,8)=" Library",LEFT(B2,LEN(B2)-8),B2)</f>
        <v>Bellevue</v>
      </c>
      <c r="B2" t="s">
        <v>92</v>
      </c>
      <c r="C2" t="s">
        <v>93</v>
      </c>
    </row>
    <row r="3" spans="1:3" x14ac:dyDescent="0.25">
      <c r="A3" t="str">
        <f t="shared" si="0"/>
        <v>Bordeaux</v>
      </c>
      <c r="B3" t="s">
        <v>94</v>
      </c>
      <c r="C3" t="s">
        <v>95</v>
      </c>
    </row>
    <row r="4" spans="1:3" x14ac:dyDescent="0.25">
      <c r="A4" t="str">
        <f t="shared" si="0"/>
        <v>Children's Services, Main</v>
      </c>
      <c r="B4" t="s">
        <v>96</v>
      </c>
      <c r="C4" t="s">
        <v>97</v>
      </c>
    </row>
    <row r="5" spans="1:3" x14ac:dyDescent="0.25">
      <c r="A5" t="str">
        <f t="shared" si="0"/>
        <v>Conference Center</v>
      </c>
      <c r="B5" t="s">
        <v>98</v>
      </c>
      <c r="C5" t="s">
        <v>99</v>
      </c>
    </row>
    <row r="6" spans="1:3" x14ac:dyDescent="0.25">
      <c r="A6" t="str">
        <f t="shared" si="0"/>
        <v>Deaf &amp;amp; Hard of Hearing</v>
      </c>
      <c r="B6" t="s">
        <v>100</v>
      </c>
      <c r="C6" t="s">
        <v>101</v>
      </c>
    </row>
    <row r="8" spans="1:3" x14ac:dyDescent="0.25">
      <c r="A8" t="str">
        <f t="shared" si="0"/>
        <v>Donelson</v>
      </c>
      <c r="B8" t="s">
        <v>102</v>
      </c>
      <c r="C8" t="s">
        <v>103</v>
      </c>
    </row>
    <row r="9" spans="1:3" x14ac:dyDescent="0.25">
      <c r="A9" t="str">
        <f t="shared" si="0"/>
        <v>East</v>
      </c>
      <c r="B9" t="s">
        <v>104</v>
      </c>
      <c r="C9" t="s">
        <v>105</v>
      </c>
    </row>
    <row r="10" spans="1:3" x14ac:dyDescent="0.25">
      <c r="A10" t="str">
        <f t="shared" si="0"/>
        <v>Edgehill</v>
      </c>
      <c r="B10" t="s">
        <v>106</v>
      </c>
      <c r="C10" t="s">
        <v>107</v>
      </c>
    </row>
    <row r="11" spans="1:3" x14ac:dyDescent="0.25">
      <c r="A11" t="str">
        <f t="shared" si="0"/>
        <v>Edmondson Pike</v>
      </c>
      <c r="B11" t="s">
        <v>108</v>
      </c>
      <c r="C11" t="s">
        <v>109</v>
      </c>
    </row>
    <row r="12" spans="1:3" x14ac:dyDescent="0.25">
      <c r="A12" t="str">
        <f t="shared" si="0"/>
        <v>Goodlettsville</v>
      </c>
      <c r="B12" t="s">
        <v>110</v>
      </c>
      <c r="C12" t="s">
        <v>111</v>
      </c>
    </row>
    <row r="13" spans="1:3" x14ac:dyDescent="0.25">
      <c r="A13" t="str">
        <f t="shared" si="0"/>
        <v>Green Hills</v>
      </c>
      <c r="B13" t="s">
        <v>112</v>
      </c>
      <c r="C13" t="s">
        <v>113</v>
      </c>
    </row>
    <row r="14" spans="1:3" x14ac:dyDescent="0.25">
      <c r="A14" t="str">
        <f t="shared" si="0"/>
        <v>Hadley Park</v>
      </c>
      <c r="B14" t="s">
        <v>114</v>
      </c>
      <c r="C14" t="s">
        <v>115</v>
      </c>
    </row>
    <row r="15" spans="1:3" x14ac:dyDescent="0.25">
      <c r="A15" t="str">
        <f t="shared" si="0"/>
        <v>Hermitage</v>
      </c>
      <c r="B15" t="s">
        <v>116</v>
      </c>
      <c r="C15" t="s">
        <v>117</v>
      </c>
    </row>
    <row r="16" spans="1:3" x14ac:dyDescent="0.25">
      <c r="A16" t="str">
        <f t="shared" si="0"/>
        <v>Inglewood</v>
      </c>
      <c r="B16" t="s">
        <v>118</v>
      </c>
      <c r="C16" t="s">
        <v>119</v>
      </c>
    </row>
    <row r="19" spans="1:3" x14ac:dyDescent="0.25">
      <c r="A19" t="str">
        <f t="shared" si="0"/>
        <v>Looby</v>
      </c>
      <c r="B19" t="s">
        <v>120</v>
      </c>
      <c r="C19" t="s">
        <v>121</v>
      </c>
    </row>
    <row r="20" spans="1:3" x14ac:dyDescent="0.25">
      <c r="A20" t="str">
        <f t="shared" si="0"/>
        <v>Madison</v>
      </c>
      <c r="B20" t="s">
        <v>122</v>
      </c>
      <c r="C20" t="s">
        <v>123</v>
      </c>
    </row>
    <row r="21" spans="1:3" x14ac:dyDescent="0.25">
      <c r="A21" t="str">
        <f t="shared" si="0"/>
        <v>Metro Archives</v>
      </c>
      <c r="B21" t="s">
        <v>63</v>
      </c>
      <c r="C21" t="s">
        <v>124</v>
      </c>
    </row>
    <row r="23" spans="1:3" x14ac:dyDescent="0.25">
      <c r="A23" t="str">
        <f t="shared" si="0"/>
        <v>Nashville Public</v>
      </c>
      <c r="B23" t="s">
        <v>125</v>
      </c>
      <c r="C23" t="s">
        <v>126</v>
      </c>
    </row>
    <row r="25" spans="1:3" x14ac:dyDescent="0.25">
      <c r="A25" t="str">
        <f t="shared" si="0"/>
        <v>North</v>
      </c>
      <c r="B25" t="s">
        <v>127</v>
      </c>
      <c r="C25" t="s">
        <v>128</v>
      </c>
    </row>
    <row r="26" spans="1:3" x14ac:dyDescent="0.25">
      <c r="A26" t="str">
        <f t="shared" si="0"/>
        <v>Old Hickory</v>
      </c>
      <c r="B26" t="s">
        <v>129</v>
      </c>
      <c r="C26" t="s">
        <v>130</v>
      </c>
    </row>
    <row r="27" spans="1:3" x14ac:dyDescent="0.25">
      <c r="A27" t="str">
        <f t="shared" si="0"/>
        <v>Popular Materials, Main</v>
      </c>
      <c r="B27" t="s">
        <v>131</v>
      </c>
      <c r="C27" t="s">
        <v>132</v>
      </c>
    </row>
    <row r="28" spans="1:3" x14ac:dyDescent="0.25">
      <c r="A28" t="str">
        <f t="shared" si="0"/>
        <v>Pruitt</v>
      </c>
      <c r="B28" t="s">
        <v>133</v>
      </c>
      <c r="C28" t="s">
        <v>134</v>
      </c>
    </row>
    <row r="29" spans="1:3" x14ac:dyDescent="0.25">
      <c r="A29" t="str">
        <f t="shared" si="0"/>
        <v>Public Relations</v>
      </c>
      <c r="B29" t="s">
        <v>135</v>
      </c>
      <c r="C29" t="s">
        <v>136</v>
      </c>
    </row>
    <row r="30" spans="1:3" x14ac:dyDescent="0.25">
      <c r="A30" t="str">
        <f t="shared" si="0"/>
        <v>Richland Park</v>
      </c>
      <c r="B30" t="s">
        <v>137</v>
      </c>
      <c r="C30" t="s">
        <v>138</v>
      </c>
    </row>
    <row r="31" spans="1:3" x14ac:dyDescent="0.25">
      <c r="A31" t="str">
        <f t="shared" si="0"/>
        <v>Southeast</v>
      </c>
      <c r="B31" t="s">
        <v>139</v>
      </c>
      <c r="C31" t="s">
        <v>140</v>
      </c>
    </row>
    <row r="32" spans="1:3" x14ac:dyDescent="0.25">
      <c r="A32" t="str">
        <f t="shared" si="0"/>
        <v>Special Collections</v>
      </c>
      <c r="B32" t="s">
        <v>141</v>
      </c>
      <c r="C32" t="s">
        <v>142</v>
      </c>
    </row>
    <row r="34" spans="1:3" x14ac:dyDescent="0.25">
      <c r="A34" t="str">
        <f t="shared" si="0"/>
        <v>Teen Services, Main</v>
      </c>
      <c r="B34" t="s">
        <v>143</v>
      </c>
      <c r="C34" t="s">
        <v>144</v>
      </c>
    </row>
    <row r="35" spans="1:3" x14ac:dyDescent="0.25">
      <c r="A35" t="str">
        <f t="shared" si="0"/>
        <v>Thompson Lane</v>
      </c>
      <c r="B35" t="s">
        <v>145</v>
      </c>
      <c r="C35" t="s">
        <v>146</v>
      </c>
    </row>
    <row r="37" spans="1:3" x14ac:dyDescent="0.25">
      <c r="A37" t="str">
        <f t="shared" si="0"/>
        <v>Watkins Park</v>
      </c>
      <c r="B37" t="s">
        <v>147</v>
      </c>
      <c r="C37" t="s">
        <v>148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8"/>
  <sheetViews>
    <sheetView topLeftCell="A25" workbookViewId="0">
      <selection activeCell="A75" sqref="A75"/>
    </sheetView>
  </sheetViews>
  <sheetFormatPr defaultRowHeight="15" x14ac:dyDescent="0.25"/>
  <cols>
    <col min="1" max="1" width="34.28515625" bestFit="1" customWidth="1"/>
    <col min="2" max="2" width="41.85546875" bestFit="1" customWidth="1"/>
  </cols>
  <sheetData>
    <row r="1" spans="1:3" x14ac:dyDescent="0.25">
      <c r="A1" s="3" t="s">
        <v>290</v>
      </c>
      <c r="B1" s="3" t="s">
        <v>289</v>
      </c>
      <c r="C1" s="3" t="s">
        <v>305</v>
      </c>
    </row>
    <row r="2" spans="1:3" x14ac:dyDescent="0.25">
      <c r="A2" t="s">
        <v>152</v>
      </c>
      <c r="B2" t="s">
        <v>153</v>
      </c>
      <c r="C2" t="s">
        <v>310</v>
      </c>
    </row>
    <row r="4" spans="1:3" x14ac:dyDescent="0.25">
      <c r="A4" t="s">
        <v>154</v>
      </c>
      <c r="B4" t="s">
        <v>155</v>
      </c>
      <c r="C4" t="s">
        <v>311</v>
      </c>
    </row>
    <row r="5" spans="1:3" x14ac:dyDescent="0.25">
      <c r="A5" t="s">
        <v>156</v>
      </c>
      <c r="B5" t="s">
        <v>157</v>
      </c>
      <c r="C5" t="s">
        <v>312</v>
      </c>
    </row>
    <row r="6" spans="1:3" x14ac:dyDescent="0.25">
      <c r="A6" t="s">
        <v>158</v>
      </c>
      <c r="B6" t="s">
        <v>159</v>
      </c>
      <c r="C6" t="s">
        <v>313</v>
      </c>
    </row>
    <row r="7" spans="1:3" x14ac:dyDescent="0.25">
      <c r="A7" t="s">
        <v>160</v>
      </c>
      <c r="B7" t="s">
        <v>161</v>
      </c>
      <c r="C7" t="s">
        <v>314</v>
      </c>
    </row>
    <row r="8" spans="1:3" x14ac:dyDescent="0.25">
      <c r="A8" t="s">
        <v>162</v>
      </c>
      <c r="B8" t="s">
        <v>163</v>
      </c>
      <c r="C8" t="s">
        <v>315</v>
      </c>
    </row>
    <row r="9" spans="1:3" x14ac:dyDescent="0.25">
      <c r="A9" t="s">
        <v>303</v>
      </c>
      <c r="B9" t="s">
        <v>164</v>
      </c>
      <c r="C9" t="s">
        <v>316</v>
      </c>
    </row>
    <row r="10" spans="1:3" x14ac:dyDescent="0.25">
      <c r="A10" t="s">
        <v>165</v>
      </c>
      <c r="B10" t="s">
        <v>166</v>
      </c>
      <c r="C10" t="s">
        <v>317</v>
      </c>
    </row>
    <row r="11" spans="1:3" x14ac:dyDescent="0.25">
      <c r="A11" t="s">
        <v>167</v>
      </c>
      <c r="B11" t="s">
        <v>168</v>
      </c>
      <c r="C11" t="s">
        <v>318</v>
      </c>
    </row>
    <row r="12" spans="1:3" x14ac:dyDescent="0.25">
      <c r="A12" t="s">
        <v>169</v>
      </c>
      <c r="B12" t="s">
        <v>170</v>
      </c>
      <c r="C12" t="s">
        <v>319</v>
      </c>
    </row>
    <row r="13" spans="1:3" x14ac:dyDescent="0.25">
      <c r="A13" t="s">
        <v>171</v>
      </c>
      <c r="B13" t="s">
        <v>172</v>
      </c>
      <c r="C13" t="s">
        <v>320</v>
      </c>
    </row>
    <row r="14" spans="1:3" x14ac:dyDescent="0.25">
      <c r="A14" t="s">
        <v>173</v>
      </c>
      <c r="B14" t="s">
        <v>174</v>
      </c>
      <c r="C14" t="s">
        <v>304</v>
      </c>
    </row>
    <row r="15" spans="1:3" x14ac:dyDescent="0.25">
      <c r="A15" t="s">
        <v>175</v>
      </c>
      <c r="B15" t="s">
        <v>176</v>
      </c>
      <c r="C15" t="s">
        <v>321</v>
      </c>
    </row>
    <row r="16" spans="1:3" x14ac:dyDescent="0.25">
      <c r="A16" t="s">
        <v>177</v>
      </c>
      <c r="B16" t="s">
        <v>178</v>
      </c>
      <c r="C16" t="s">
        <v>322</v>
      </c>
    </row>
    <row r="17" spans="1:3" x14ac:dyDescent="0.25">
      <c r="A17" t="s">
        <v>179</v>
      </c>
      <c r="B17" t="s">
        <v>180</v>
      </c>
      <c r="C17" t="s">
        <v>323</v>
      </c>
    </row>
    <row r="18" spans="1:3" x14ac:dyDescent="0.25">
      <c r="A18" t="s">
        <v>181</v>
      </c>
      <c r="B18" t="s">
        <v>182</v>
      </c>
      <c r="C18" t="s">
        <v>324</v>
      </c>
    </row>
    <row r="19" spans="1:3" x14ac:dyDescent="0.25">
      <c r="A19" t="s">
        <v>301</v>
      </c>
      <c r="B19" t="s">
        <v>183</v>
      </c>
      <c r="C19" t="s">
        <v>325</v>
      </c>
    </row>
    <row r="20" spans="1:3" x14ac:dyDescent="0.25">
      <c r="A20" t="s">
        <v>184</v>
      </c>
      <c r="B20" t="s">
        <v>185</v>
      </c>
      <c r="C20" t="s">
        <v>326</v>
      </c>
    </row>
    <row r="21" spans="1:3" x14ac:dyDescent="0.25">
      <c r="A21" t="s">
        <v>186</v>
      </c>
      <c r="B21" t="s">
        <v>187</v>
      </c>
      <c r="C21" t="s">
        <v>327</v>
      </c>
    </row>
    <row r="22" spans="1:3" x14ac:dyDescent="0.25">
      <c r="A22" t="s">
        <v>302</v>
      </c>
      <c r="B22" t="s">
        <v>188</v>
      </c>
      <c r="C22" t="s">
        <v>328</v>
      </c>
    </row>
    <row r="23" spans="1:3" x14ac:dyDescent="0.25">
      <c r="A23" t="s">
        <v>189</v>
      </c>
      <c r="B23" t="s">
        <v>190</v>
      </c>
      <c r="C23" t="s">
        <v>329</v>
      </c>
    </row>
    <row r="24" spans="1:3" x14ac:dyDescent="0.25">
      <c r="A24" t="s">
        <v>191</v>
      </c>
      <c r="B24" t="s">
        <v>192</v>
      </c>
      <c r="C24" t="s">
        <v>330</v>
      </c>
    </row>
    <row r="25" spans="1:3" x14ac:dyDescent="0.25">
      <c r="A25" t="s">
        <v>193</v>
      </c>
      <c r="B25" t="s">
        <v>194</v>
      </c>
      <c r="C25" t="s">
        <v>331</v>
      </c>
    </row>
    <row r="26" spans="1:3" x14ac:dyDescent="0.25">
      <c r="A26" t="s">
        <v>195</v>
      </c>
      <c r="B26" t="s">
        <v>196</v>
      </c>
      <c r="C26" t="s">
        <v>332</v>
      </c>
    </row>
    <row r="27" spans="1:3" x14ac:dyDescent="0.25">
      <c r="A27" t="s">
        <v>197</v>
      </c>
      <c r="B27" t="s">
        <v>198</v>
      </c>
      <c r="C27" t="s">
        <v>333</v>
      </c>
    </row>
    <row r="28" spans="1:3" x14ac:dyDescent="0.25">
      <c r="A28" t="s">
        <v>199</v>
      </c>
      <c r="B28" t="s">
        <v>200</v>
      </c>
      <c r="C28" t="s">
        <v>334</v>
      </c>
    </row>
    <row r="29" spans="1:3" x14ac:dyDescent="0.25">
      <c r="A29" t="s">
        <v>201</v>
      </c>
      <c r="B29" t="s">
        <v>202</v>
      </c>
      <c r="C29" t="s">
        <v>335</v>
      </c>
    </row>
    <row r="30" spans="1:3" x14ac:dyDescent="0.25">
      <c r="A30" t="s">
        <v>203</v>
      </c>
      <c r="B30" t="s">
        <v>204</v>
      </c>
      <c r="C30" t="s">
        <v>336</v>
      </c>
    </row>
    <row r="31" spans="1:3" x14ac:dyDescent="0.25">
      <c r="A31" t="s">
        <v>205</v>
      </c>
      <c r="B31" t="s">
        <v>206</v>
      </c>
      <c r="C31" t="s">
        <v>337</v>
      </c>
    </row>
    <row r="32" spans="1:3" x14ac:dyDescent="0.25">
      <c r="A32" t="s">
        <v>207</v>
      </c>
      <c r="B32" t="s">
        <v>208</v>
      </c>
      <c r="C32" t="s">
        <v>306</v>
      </c>
    </row>
    <row r="33" spans="1:3" x14ac:dyDescent="0.25">
      <c r="A33" t="s">
        <v>209</v>
      </c>
      <c r="B33" t="s">
        <v>210</v>
      </c>
      <c r="C33" t="s">
        <v>338</v>
      </c>
    </row>
    <row r="34" spans="1:3" x14ac:dyDescent="0.25">
      <c r="A34" t="s">
        <v>211</v>
      </c>
      <c r="B34" t="s">
        <v>212</v>
      </c>
      <c r="C34" t="s">
        <v>339</v>
      </c>
    </row>
    <row r="35" spans="1:3" x14ac:dyDescent="0.25">
      <c r="A35" t="s">
        <v>213</v>
      </c>
      <c r="B35" t="s">
        <v>214</v>
      </c>
      <c r="C35" t="s">
        <v>340</v>
      </c>
    </row>
    <row r="36" spans="1:3" x14ac:dyDescent="0.25">
      <c r="A36" t="s">
        <v>215</v>
      </c>
      <c r="B36" t="s">
        <v>216</v>
      </c>
      <c r="C36" t="s">
        <v>341</v>
      </c>
    </row>
    <row r="37" spans="1:3" x14ac:dyDescent="0.25">
      <c r="A37" t="s">
        <v>217</v>
      </c>
      <c r="B37" t="s">
        <v>218</v>
      </c>
      <c r="C37" t="s">
        <v>342</v>
      </c>
    </row>
    <row r="38" spans="1:3" x14ac:dyDescent="0.25">
      <c r="A38" t="s">
        <v>219</v>
      </c>
      <c r="B38" t="s">
        <v>220</v>
      </c>
      <c r="C38" t="s">
        <v>343</v>
      </c>
    </row>
    <row r="39" spans="1:3" x14ac:dyDescent="0.25">
      <c r="A39" t="s">
        <v>221</v>
      </c>
      <c r="B39" t="s">
        <v>222</v>
      </c>
      <c r="C39" t="s">
        <v>344</v>
      </c>
    </row>
    <row r="40" spans="1:3" x14ac:dyDescent="0.25">
      <c r="A40" t="s">
        <v>223</v>
      </c>
      <c r="B40" t="s">
        <v>224</v>
      </c>
      <c r="C40" t="s">
        <v>345</v>
      </c>
    </row>
    <row r="41" spans="1:3" x14ac:dyDescent="0.25">
      <c r="A41" t="s">
        <v>225</v>
      </c>
      <c r="B41" t="s">
        <v>226</v>
      </c>
      <c r="C41" t="s">
        <v>346</v>
      </c>
    </row>
    <row r="42" spans="1:3" x14ac:dyDescent="0.25">
      <c r="A42" t="s">
        <v>227</v>
      </c>
      <c r="B42" t="s">
        <v>228</v>
      </c>
      <c r="C42" t="s">
        <v>347</v>
      </c>
    </row>
    <row r="43" spans="1:3" x14ac:dyDescent="0.25">
      <c r="A43" t="s">
        <v>229</v>
      </c>
      <c r="B43" t="s">
        <v>230</v>
      </c>
      <c r="C43" t="s">
        <v>348</v>
      </c>
    </row>
    <row r="44" spans="1:3" x14ac:dyDescent="0.25">
      <c r="A44" t="s">
        <v>231</v>
      </c>
      <c r="B44" t="s">
        <v>232</v>
      </c>
      <c r="C44" t="s">
        <v>349</v>
      </c>
    </row>
    <row r="45" spans="1:3" x14ac:dyDescent="0.25">
      <c r="A45" t="s">
        <v>233</v>
      </c>
      <c r="B45" t="s">
        <v>234</v>
      </c>
      <c r="C45" t="s">
        <v>350</v>
      </c>
    </row>
    <row r="46" spans="1:3" x14ac:dyDescent="0.25">
      <c r="A46" t="s">
        <v>235</v>
      </c>
      <c r="B46" t="s">
        <v>236</v>
      </c>
      <c r="C46" t="s">
        <v>351</v>
      </c>
    </row>
    <row r="47" spans="1:3" x14ac:dyDescent="0.25">
      <c r="A47" t="s">
        <v>237</v>
      </c>
      <c r="B47" t="s">
        <v>238</v>
      </c>
      <c r="C47" t="s">
        <v>352</v>
      </c>
    </row>
    <row r="48" spans="1:3" x14ac:dyDescent="0.25">
      <c r="A48" t="s">
        <v>239</v>
      </c>
      <c r="B48" t="s">
        <v>240</v>
      </c>
      <c r="C48" t="s">
        <v>353</v>
      </c>
    </row>
    <row r="49" spans="1:3" x14ac:dyDescent="0.25">
      <c r="A49" t="s">
        <v>241</v>
      </c>
      <c r="B49" t="s">
        <v>242</v>
      </c>
      <c r="C49" t="s">
        <v>354</v>
      </c>
    </row>
    <row r="50" spans="1:3" x14ac:dyDescent="0.25">
      <c r="A50" t="s">
        <v>243</v>
      </c>
      <c r="B50" t="s">
        <v>244</v>
      </c>
      <c r="C50" t="s">
        <v>355</v>
      </c>
    </row>
    <row r="51" spans="1:3" x14ac:dyDescent="0.25">
      <c r="A51" t="s">
        <v>245</v>
      </c>
      <c r="B51" t="s">
        <v>246</v>
      </c>
      <c r="C51" t="s">
        <v>309</v>
      </c>
    </row>
    <row r="52" spans="1:3" x14ac:dyDescent="0.25">
      <c r="A52" t="s">
        <v>247</v>
      </c>
      <c r="B52" t="s">
        <v>248</v>
      </c>
      <c r="C52" t="s">
        <v>356</v>
      </c>
    </row>
    <row r="53" spans="1:3" x14ac:dyDescent="0.25">
      <c r="A53" t="s">
        <v>249</v>
      </c>
      <c r="B53" t="s">
        <v>250</v>
      </c>
      <c r="C53" t="s">
        <v>357</v>
      </c>
    </row>
    <row r="54" spans="1:3" x14ac:dyDescent="0.25">
      <c r="A54" t="s">
        <v>251</v>
      </c>
      <c r="B54" t="s">
        <v>252</v>
      </c>
      <c r="C54" t="s">
        <v>358</v>
      </c>
    </row>
    <row r="55" spans="1:3" x14ac:dyDescent="0.25">
      <c r="A55" t="s">
        <v>253</v>
      </c>
      <c r="B55" t="s">
        <v>254</v>
      </c>
      <c r="C55" t="s">
        <v>359</v>
      </c>
    </row>
    <row r="56" spans="1:3" x14ac:dyDescent="0.25">
      <c r="A56" t="s">
        <v>255</v>
      </c>
      <c r="B56" t="s">
        <v>256</v>
      </c>
      <c r="C56" t="s">
        <v>360</v>
      </c>
    </row>
    <row r="57" spans="1:3" x14ac:dyDescent="0.25">
      <c r="A57" t="s">
        <v>257</v>
      </c>
      <c r="B57" t="s">
        <v>258</v>
      </c>
      <c r="C57" t="s">
        <v>361</v>
      </c>
    </row>
    <row r="58" spans="1:3" x14ac:dyDescent="0.25">
      <c r="A58" t="s">
        <v>259</v>
      </c>
      <c r="B58" t="s">
        <v>260</v>
      </c>
      <c r="C58" t="s">
        <v>362</v>
      </c>
    </row>
    <row r="59" spans="1:3" x14ac:dyDescent="0.25">
      <c r="A59" t="s">
        <v>261</v>
      </c>
      <c r="B59" t="s">
        <v>262</v>
      </c>
      <c r="C59" t="s">
        <v>363</v>
      </c>
    </row>
    <row r="60" spans="1:3" x14ac:dyDescent="0.25">
      <c r="A60" t="s">
        <v>364</v>
      </c>
      <c r="B60" t="s">
        <v>365</v>
      </c>
      <c r="C60" t="s">
        <v>366</v>
      </c>
    </row>
    <row r="61" spans="1:3" x14ac:dyDescent="0.25">
      <c r="A61" t="s">
        <v>263</v>
      </c>
      <c r="B61" t="s">
        <v>264</v>
      </c>
      <c r="C61" t="s">
        <v>367</v>
      </c>
    </row>
    <row r="62" spans="1:3" x14ac:dyDescent="0.25">
      <c r="A62" t="s">
        <v>265</v>
      </c>
      <c r="B62" t="s">
        <v>266</v>
      </c>
      <c r="C62" t="s">
        <v>368</v>
      </c>
    </row>
    <row r="63" spans="1:3" x14ac:dyDescent="0.25">
      <c r="A63" t="s">
        <v>267</v>
      </c>
      <c r="B63" t="s">
        <v>268</v>
      </c>
      <c r="C63" t="s">
        <v>369</v>
      </c>
    </row>
    <row r="64" spans="1:3" x14ac:dyDescent="0.25">
      <c r="A64" t="s">
        <v>269</v>
      </c>
      <c r="B64" t="s">
        <v>270</v>
      </c>
      <c r="C64" t="s">
        <v>370</v>
      </c>
    </row>
    <row r="65" spans="1:3" x14ac:dyDescent="0.25">
      <c r="A65" t="s">
        <v>271</v>
      </c>
      <c r="B65" t="s">
        <v>272</v>
      </c>
      <c r="C65" t="s">
        <v>308</v>
      </c>
    </row>
    <row r="66" spans="1:3" x14ac:dyDescent="0.25">
      <c r="A66" t="s">
        <v>273</v>
      </c>
      <c r="B66" t="s">
        <v>274</v>
      </c>
      <c r="C66" t="s">
        <v>307</v>
      </c>
    </row>
    <row r="67" spans="1:3" x14ac:dyDescent="0.25">
      <c r="A67" t="s">
        <v>275</v>
      </c>
      <c r="B67" t="s">
        <v>276</v>
      </c>
      <c r="C67" t="s">
        <v>371</v>
      </c>
    </row>
    <row r="68" spans="1:3" x14ac:dyDescent="0.25">
      <c r="A68" t="s">
        <v>277</v>
      </c>
      <c r="B68" t="s">
        <v>278</v>
      </c>
      <c r="C68" t="s">
        <v>372</v>
      </c>
    </row>
    <row r="69" spans="1:3" x14ac:dyDescent="0.25">
      <c r="A69" t="s">
        <v>21</v>
      </c>
      <c r="B69" t="s">
        <v>279</v>
      </c>
      <c r="C69" t="s">
        <v>373</v>
      </c>
    </row>
    <row r="70" spans="1:3" x14ac:dyDescent="0.25">
      <c r="A70" t="s">
        <v>280</v>
      </c>
      <c r="B70" t="s">
        <v>281</v>
      </c>
      <c r="C70" t="s">
        <v>374</v>
      </c>
    </row>
    <row r="71" spans="1:3" x14ac:dyDescent="0.25">
      <c r="A71" t="s">
        <v>282</v>
      </c>
      <c r="B71" t="s">
        <v>283</v>
      </c>
      <c r="C71" t="s">
        <v>375</v>
      </c>
    </row>
    <row r="72" spans="1:3" x14ac:dyDescent="0.25">
      <c r="A72" t="s">
        <v>19</v>
      </c>
      <c r="B72" t="s">
        <v>284</v>
      </c>
      <c r="C72" t="s">
        <v>376</v>
      </c>
    </row>
    <row r="73" spans="1:3" x14ac:dyDescent="0.25">
      <c r="A73" t="s">
        <v>285</v>
      </c>
      <c r="B73" t="s">
        <v>286</v>
      </c>
      <c r="C73" t="s">
        <v>377</v>
      </c>
    </row>
    <row r="74" spans="1:3" x14ac:dyDescent="0.25">
      <c r="A74" t="s">
        <v>287</v>
      </c>
      <c r="B74" t="s">
        <v>288</v>
      </c>
      <c r="C74" t="s">
        <v>378</v>
      </c>
    </row>
    <row r="75" spans="1:3" x14ac:dyDescent="0.25">
      <c r="A75" t="s">
        <v>379</v>
      </c>
      <c r="B75" t="s">
        <v>246</v>
      </c>
      <c r="C75" t="s">
        <v>380</v>
      </c>
    </row>
    <row r="76" spans="1:3" x14ac:dyDescent="0.25">
      <c r="A76" t="s">
        <v>381</v>
      </c>
      <c r="B76" t="s">
        <v>382</v>
      </c>
      <c r="C76" t="s">
        <v>383</v>
      </c>
    </row>
    <row r="77" spans="1:3" x14ac:dyDescent="0.25">
      <c r="A77" t="s">
        <v>384</v>
      </c>
      <c r="B77" t="s">
        <v>385</v>
      </c>
      <c r="C77" t="s">
        <v>386</v>
      </c>
    </row>
    <row r="78" spans="1:3" x14ac:dyDescent="0.25">
      <c r="A78" t="s">
        <v>269</v>
      </c>
      <c r="B78" t="s">
        <v>270</v>
      </c>
      <c r="C78" t="s">
        <v>370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1"/>
  <sheetViews>
    <sheetView topLeftCell="A16" workbookViewId="0">
      <selection activeCell="A7" sqref="A7"/>
    </sheetView>
  </sheetViews>
  <sheetFormatPr defaultRowHeight="15" x14ac:dyDescent="0.25"/>
  <cols>
    <col min="1" max="1" width="58.7109375" bestFit="1" customWidth="1"/>
    <col min="2" max="2" width="41.7109375" bestFit="1" customWidth="1"/>
    <col min="3" max="3" width="40.7109375" bestFit="1" customWidth="1"/>
    <col min="4" max="4" width="41.28515625" bestFit="1" customWidth="1"/>
    <col min="5" max="5" width="41.85546875" bestFit="1" customWidth="1"/>
  </cols>
  <sheetData>
    <row r="1" spans="1:6" s="3" customFormat="1" x14ac:dyDescent="0.25">
      <c r="A1" s="3" t="s">
        <v>299</v>
      </c>
      <c r="B1" s="3" t="s">
        <v>298</v>
      </c>
      <c r="C1" s="3" t="s">
        <v>298</v>
      </c>
      <c r="D1" s="3" t="s">
        <v>298</v>
      </c>
      <c r="E1" s="3" t="s">
        <v>298</v>
      </c>
      <c r="F1" s="3" t="s">
        <v>298</v>
      </c>
    </row>
    <row r="2" spans="1:6" x14ac:dyDescent="0.25">
      <c r="A2">
        <f>DATA!G2</f>
        <v>0</v>
      </c>
      <c r="B2" t="str">
        <f>VLOOKUP(DATA!I2,TOPICALAREAS!A$2:B$76,2,TRUE)</f>
        <v>2a3e9efe-334bc29f-0133-79be1a6a-00003690</v>
      </c>
      <c r="C2" t="str">
        <f>VLOOKUP(DATA!J2,TOPICALAREAS!A$2:B$76,2,TRUE)</f>
        <v>ff808181-1fd7389e-011f-d7389f33-00000012</v>
      </c>
      <c r="D2" t="str">
        <f>VLOOKUP(DATA!K2,TOPICALAREAS!A$2:B$76,2,TRUE)</f>
        <v>402881e6-20a21413-0120-a23e31ea-00000016</v>
      </c>
      <c r="E2" t="str">
        <f>VLOOKUP(DATA!L2,TOPICALAREAS!A$2:B$76,2,TRUE)</f>
        <v>2a3e9efe-35dd67b8-0135-f8474b67-00005c80</v>
      </c>
      <c r="F2" t="e">
        <f>VLOOKUP(DATA!M2,TOPICALAREAS!A$2:B$76,2,TRUE)</f>
        <v>#N/A</v>
      </c>
    </row>
    <row r="3" spans="1:6" x14ac:dyDescent="0.25">
      <c r="A3">
        <f>DATA!G3</f>
        <v>0</v>
      </c>
      <c r="B3" t="str">
        <f>VLOOKUP(DATA!I3,TOPICALAREAS!A$2:B$76,2,TRUE)</f>
        <v>2a3e9efe-334bc29f-0133-79be1a6a-00003690</v>
      </c>
      <c r="C3" t="str">
        <f>VLOOKUP(DATA!J3,TOPICALAREAS!A$2:B$76,2,TRUE)</f>
        <v>ff808181-1fd7389e-011f-d7389f33-00000012</v>
      </c>
      <c r="D3" t="str">
        <f>VLOOKUP(DATA!K3,TOPICALAREAS!A$2:B$76,2,TRUE)</f>
        <v>402881e6-20a21413-0120-a23e31ea-00000016</v>
      </c>
      <c r="E3" t="e">
        <f>VLOOKUP(DATA!L3,TOPICALAREAS!A$2:B$76,2,TRUE)</f>
        <v>#N/A</v>
      </c>
      <c r="F3" t="e">
        <f>VLOOKUP(DATA!M3,TOPICALAREAS!A3:B77,2,TRUE)</f>
        <v>#N/A</v>
      </c>
    </row>
    <row r="4" spans="1:6" x14ac:dyDescent="0.25">
      <c r="A4">
        <f>DATA!G4</f>
        <v>0</v>
      </c>
      <c r="B4" t="str">
        <f>VLOOKUP(DATA!I4,TOPICALAREAS!A$2:B$76,2,TRUE)</f>
        <v>2a3e9efe-334bc29f-0133-79be1a6a-00003690</v>
      </c>
      <c r="C4" t="str">
        <f>VLOOKUP(DATA!J4,TOPICALAREAS!A$2:B$76,2,TRUE)</f>
        <v>ff808181-1fd7389e-011f-d7389f33-00000012</v>
      </c>
      <c r="D4" t="str">
        <f>VLOOKUP(DATA!K4,TOPICALAREAS!A$2:B$76,2,TRUE)</f>
        <v>402881e6-20a21413-0120-a23e31ea-00000016</v>
      </c>
      <c r="E4" t="e">
        <f>VLOOKUP(DATA!L4,TOPICALAREAS!A$2:B$76,2,TRUE)</f>
        <v>#N/A</v>
      </c>
      <c r="F4" t="e">
        <f>VLOOKUP(DATA!M4,TOPICALAREAS!A$2:B$76,2,TRUE)</f>
        <v>#N/A</v>
      </c>
    </row>
    <row r="5" spans="1:6" x14ac:dyDescent="0.25">
      <c r="A5">
        <f>DATA!G5</f>
        <v>0</v>
      </c>
      <c r="B5" t="str">
        <f>VLOOKUP(DATA!I5,TOPICALAREAS!A$2:B$76,2,TRUE)</f>
        <v>2a3e9efe-334bc29f-0133-79be1a6a-00003690</v>
      </c>
      <c r="C5" t="str">
        <f>VLOOKUP(DATA!J5,TOPICALAREAS!A$2:B$76,2,TRUE)</f>
        <v>ff808181-1fd7389e-011f-d7389f33-00000012</v>
      </c>
      <c r="D5" t="str">
        <f>VLOOKUP(DATA!K5,TOPICALAREAS!A$2:B$76,2,TRUE)</f>
        <v>402881e6-20a21413-0120-a23e31ea-00000016</v>
      </c>
      <c r="E5" t="e">
        <f>VLOOKUP(DATA!L5,TOPICALAREAS!A$2:B$76,2,TRUE)</f>
        <v>#N/A</v>
      </c>
      <c r="F5" t="e">
        <f>VLOOKUP(DATA!M5,TOPICALAREAS!A5:B79,2,TRUE)</f>
        <v>#N/A</v>
      </c>
    </row>
    <row r="6" spans="1:6" x14ac:dyDescent="0.25">
      <c r="A6">
        <f>DATA!G6</f>
        <v>0</v>
      </c>
      <c r="B6" t="str">
        <f>VLOOKUP(DATA!I6,TOPICALAREAS!A$2:B$76,2,TRUE)</f>
        <v>2a3e9efe-334bc29f-0133-79be1a6a-00003690</v>
      </c>
      <c r="C6" t="str">
        <f>VLOOKUP(DATA!J6,TOPICALAREAS!A$2:B$76,2,TRUE)</f>
        <v>ff808181-1fd7389e-011f-d7389f33-00000012</v>
      </c>
      <c r="D6" t="str">
        <f>VLOOKUP(DATA!K6,TOPICALAREAS!A$2:B$76,2,TRUE)</f>
        <v>402881e6-20a21413-0120-a23e31ea-00000016</v>
      </c>
      <c r="E6" t="e">
        <f>VLOOKUP(DATA!L6,TOPICALAREAS!A$2:B$76,2,TRUE)</f>
        <v>#N/A</v>
      </c>
      <c r="F6" t="e">
        <f>VLOOKUP(DATA!M6,TOPICALAREAS!A$2:B$76,2,TRUE)</f>
        <v>#N/A</v>
      </c>
    </row>
    <row r="7" spans="1:6" x14ac:dyDescent="0.25">
      <c r="A7">
        <f>DATA!G7</f>
        <v>0</v>
      </c>
      <c r="B7" t="str">
        <f>VLOOKUP(DATA!I7,TOPICALAREAS!A$2:B$76,2,TRUE)</f>
        <v>2a3e9efe-334bc29f-0133-79be1a6a-00003690</v>
      </c>
      <c r="C7" t="str">
        <f>VLOOKUP(DATA!J7,TOPICALAREAS!A$2:B$76,2,TRUE)</f>
        <v>ff808181-1fd7389e-011f-d7389f33-00000012</v>
      </c>
      <c r="D7" t="str">
        <f>VLOOKUP(DATA!K7,TOPICALAREAS!A$2:B$76,2,TRUE)</f>
        <v>402881e6-20a21413-0120-a23e31ea-00000016</v>
      </c>
      <c r="E7" t="e">
        <f>VLOOKUP(DATA!L7,TOPICALAREAS!A$2:B$76,2,TRUE)</f>
        <v>#N/A</v>
      </c>
      <c r="F7" t="e">
        <f>VLOOKUP(DATA!M7,TOPICALAREAS!A7:B81,2,TRUE)</f>
        <v>#N/A</v>
      </c>
    </row>
    <row r="8" spans="1:6" x14ac:dyDescent="0.25">
      <c r="A8">
        <f>DATA!G8</f>
        <v>0</v>
      </c>
      <c r="B8" t="str">
        <f>VLOOKUP(DATA!I8,TOPICALAREAS!A$2:B$76,2,TRUE)</f>
        <v>2a3e9efe-334bc29f-0133-79be1a6a-00003690</v>
      </c>
      <c r="C8" t="str">
        <f>VLOOKUP(DATA!J8,TOPICALAREAS!A$2:B$76,2,TRUE)</f>
        <v>ff808181-1fd7389e-011f-d7389f33-00000012</v>
      </c>
      <c r="D8" t="str">
        <f>VLOOKUP(DATA!K8,TOPICALAREAS!A$2:B$76,2,TRUE)</f>
        <v>402881e6-20a21413-0120-a23e31ea-00000016</v>
      </c>
      <c r="E8" t="e">
        <f>VLOOKUP(DATA!L8,TOPICALAREAS!A$2:B$76,2,TRUE)</f>
        <v>#N/A</v>
      </c>
      <c r="F8" t="e">
        <f>VLOOKUP(DATA!M8,TOPICALAREAS!A$2:B$76,2,TRUE)</f>
        <v>#N/A</v>
      </c>
    </row>
    <row r="9" spans="1:6" x14ac:dyDescent="0.25">
      <c r="A9">
        <f>DATA!G9</f>
        <v>0</v>
      </c>
      <c r="B9" t="str">
        <f>VLOOKUP(DATA!I9,TOPICALAREAS!A$2:B$76,2,TRUE)</f>
        <v>2a3e9efe-334bc29f-0133-79be1a6a-00003690</v>
      </c>
      <c r="C9" t="str">
        <f>VLOOKUP(DATA!J9,TOPICALAREAS!A$2:B$76,2,TRUE)</f>
        <v>ff808181-1fd7389e-011f-d7389f33-00000012</v>
      </c>
      <c r="D9" t="str">
        <f>VLOOKUP(DATA!K9,TOPICALAREAS!A$2:B$76,2,TRUE)</f>
        <v>402881e6-20a21413-0120-a23e31ea-00000016</v>
      </c>
      <c r="E9" t="e">
        <f>VLOOKUP(DATA!L9,TOPICALAREAS!A$2:B$76,2,TRUE)</f>
        <v>#N/A</v>
      </c>
      <c r="F9" t="e">
        <f>VLOOKUP(DATA!M9,TOPICALAREAS!A9:B83,2,TRUE)</f>
        <v>#N/A</v>
      </c>
    </row>
    <row r="10" spans="1:6" x14ac:dyDescent="0.25">
      <c r="A10">
        <f>DATA!G10</f>
        <v>0</v>
      </c>
      <c r="B10" t="str">
        <f>VLOOKUP(DATA!I10,TOPICALAREAS!A$2:B$76,2,TRUE)</f>
        <v>2a3e9efe-334bc29f-0133-79be1a6a-00003690</v>
      </c>
      <c r="C10" t="str">
        <f>VLOOKUP(DATA!J10,TOPICALAREAS!A$2:B$76,2,TRUE)</f>
        <v>ff808181-1fd7389e-011f-d7389f33-00000012</v>
      </c>
      <c r="D10" t="str">
        <f>VLOOKUP(DATA!K10,TOPICALAREAS!A$2:B$76,2,TRUE)</f>
        <v>402881e6-20a21413-0120-a23e31ea-00000016</v>
      </c>
      <c r="E10" t="e">
        <f>VLOOKUP(DATA!L10,TOPICALAREAS!A$2:B$76,2,TRUE)</f>
        <v>#N/A</v>
      </c>
      <c r="F10" t="e">
        <f>VLOOKUP(DATA!M10,TOPICALAREAS!A$2:B$76,2,TRUE)</f>
        <v>#N/A</v>
      </c>
    </row>
    <row r="11" spans="1:6" x14ac:dyDescent="0.25">
      <c r="A11">
        <f>DATA!G11</f>
        <v>0</v>
      </c>
      <c r="B11" t="str">
        <f>VLOOKUP(DATA!I11,TOPICALAREAS!A$2:B$76,2,TRUE)</f>
        <v>2a3e9efe-334bc29f-0133-79be1a6a-00003690</v>
      </c>
      <c r="C11" t="str">
        <f>VLOOKUP(DATA!J11,TOPICALAREAS!A$2:B$76,2,TRUE)</f>
        <v>ff808181-1fd7389e-011f-d7389f33-00000012</v>
      </c>
      <c r="D11" t="str">
        <f>VLOOKUP(DATA!K11,TOPICALAREAS!A$2:B$76,2,TRUE)</f>
        <v>402881e6-20a21413-0120-a23e31ea-00000016</v>
      </c>
      <c r="E11" t="e">
        <f>VLOOKUP(DATA!L11,TOPICALAREAS!A$2:B$76,2,TRUE)</f>
        <v>#N/A</v>
      </c>
      <c r="F11" t="e">
        <f>VLOOKUP(DATA!M11,TOPICALAREAS!A11:B85,2,TRUE)</f>
        <v>#N/A</v>
      </c>
    </row>
    <row r="12" spans="1:6" x14ac:dyDescent="0.25">
      <c r="A12">
        <f>DATA!G12</f>
        <v>0</v>
      </c>
      <c r="B12" t="str">
        <f>VLOOKUP(DATA!I12,TOPICALAREAS!A$2:B$76,2,TRUE)</f>
        <v>2a3e9efe-334bc29f-0133-79be1a6a-00003690</v>
      </c>
      <c r="C12" t="str">
        <f>VLOOKUP(DATA!J12,TOPICALAREAS!A$2:B$76,2,TRUE)</f>
        <v>ff808181-1fd7389e-011f-d7389f33-00000012</v>
      </c>
      <c r="D12" t="str">
        <f>VLOOKUP(DATA!K12,TOPICALAREAS!A$2:B$76,2,TRUE)</f>
        <v>402881e6-20a21413-0120-a23e31ea-00000016</v>
      </c>
      <c r="E12" t="e">
        <f>VLOOKUP(DATA!L12,TOPICALAREAS!A$2:B$76,2,TRUE)</f>
        <v>#N/A</v>
      </c>
      <c r="F12" t="e">
        <f>VLOOKUP(DATA!M12,TOPICALAREAS!A$2:B$76,2,TRUE)</f>
        <v>#N/A</v>
      </c>
    </row>
    <row r="13" spans="1:6" x14ac:dyDescent="0.25">
      <c r="A13">
        <f>DATA!G13</f>
        <v>0</v>
      </c>
      <c r="B13" t="str">
        <f>VLOOKUP(DATA!I13,TOPICALAREAS!A$2:B$76,2,TRUE)</f>
        <v>2a3e9efe-334bc29f-0133-79be1a6a-00003690</v>
      </c>
      <c r="C13" t="str">
        <f>VLOOKUP(DATA!J13,TOPICALAREAS!A$2:B$76,2,TRUE)</f>
        <v>ff808181-1fd7389e-011f-d7389f33-00000012</v>
      </c>
      <c r="D13" t="str">
        <f>VLOOKUP(DATA!K13,TOPICALAREAS!A$2:B$76,2,TRUE)</f>
        <v>402881e6-20a21413-0120-a23e31ea-00000016</v>
      </c>
      <c r="E13" t="e">
        <f>VLOOKUP(DATA!L13,TOPICALAREAS!A$2:B$76,2,TRUE)</f>
        <v>#N/A</v>
      </c>
      <c r="F13" t="e">
        <f>VLOOKUP(DATA!M13,TOPICALAREAS!A13:B87,2,TRUE)</f>
        <v>#N/A</v>
      </c>
    </row>
    <row r="14" spans="1:6" x14ac:dyDescent="0.25">
      <c r="A14">
        <f>DATA!G14</f>
        <v>0</v>
      </c>
      <c r="B14" t="str">
        <f>VLOOKUP(DATA!I14,TOPICALAREAS!A$2:B$76,2,TRUE)</f>
        <v>2a3e9efe-334bc29f-0133-79be1a6a-00003690</v>
      </c>
      <c r="C14" t="str">
        <f>VLOOKUP(DATA!J14,TOPICALAREAS!A$2:B$76,2,TRUE)</f>
        <v>ff808181-1fd7389e-011f-d7389f33-00000012</v>
      </c>
      <c r="D14" t="str">
        <f>VLOOKUP(DATA!K14,TOPICALAREAS!A$2:B$76,2,TRUE)</f>
        <v>402881e6-20a21413-0120-a23e31ea-00000016</v>
      </c>
      <c r="E14" t="e">
        <f>VLOOKUP(DATA!L14,TOPICALAREAS!A$2:B$76,2,TRUE)</f>
        <v>#N/A</v>
      </c>
      <c r="F14" t="e">
        <f>VLOOKUP(DATA!M14,TOPICALAREAS!A$2:B$76,2,TRUE)</f>
        <v>#N/A</v>
      </c>
    </row>
    <row r="15" spans="1:6" x14ac:dyDescent="0.25">
      <c r="A15">
        <f>DATA!G15</f>
        <v>0</v>
      </c>
      <c r="B15" t="str">
        <f>VLOOKUP(DATA!I15,TOPICALAREAS!A$2:B$76,2,TRUE)</f>
        <v>2a3e9efe-334bc29f-0133-79be1a6a-00003690</v>
      </c>
      <c r="C15" t="str">
        <f>VLOOKUP(DATA!J15,TOPICALAREAS!A$2:B$76,2,TRUE)</f>
        <v>ff808181-1fd7389e-011f-d7389f33-00000012</v>
      </c>
      <c r="D15" t="str">
        <f>VLOOKUP(DATA!K15,TOPICALAREAS!A$2:B$76,2,TRUE)</f>
        <v>402881e6-20a21413-0120-a23e31ea-00000016</v>
      </c>
      <c r="E15" t="e">
        <f>VLOOKUP(DATA!L15,TOPICALAREAS!A$2:B$76,2,TRUE)</f>
        <v>#N/A</v>
      </c>
      <c r="F15" t="e">
        <f>VLOOKUP(DATA!M15,TOPICALAREAS!A15:B89,2,TRUE)</f>
        <v>#N/A</v>
      </c>
    </row>
    <row r="16" spans="1:6" x14ac:dyDescent="0.25">
      <c r="A16">
        <f>DATA!G16</f>
        <v>0</v>
      </c>
      <c r="B16" t="str">
        <f>VLOOKUP(DATA!I16,TOPICALAREAS!A$2:B$76,2,TRUE)</f>
        <v>2a3e9efe-334bc29f-0133-79be1a6a-00003690</v>
      </c>
      <c r="C16" t="str">
        <f>VLOOKUP(DATA!J16,TOPICALAREAS!A$2:B$76,2,TRUE)</f>
        <v>ff808181-1fd7389e-011f-d7389f33-00000012</v>
      </c>
      <c r="D16" t="str">
        <f>VLOOKUP(DATA!K16,TOPICALAREAS!A$2:B$76,2,TRUE)</f>
        <v>402881e6-20a21413-0120-a23e31ea-00000016</v>
      </c>
      <c r="E16" t="e">
        <f>VLOOKUP(DATA!L16,TOPICALAREAS!A$2:B$76,2,TRUE)</f>
        <v>#N/A</v>
      </c>
      <c r="F16" t="e">
        <f>VLOOKUP(DATA!M16,TOPICALAREAS!A$2:B$76,2,TRUE)</f>
        <v>#N/A</v>
      </c>
    </row>
    <row r="17" spans="1:6" x14ac:dyDescent="0.25">
      <c r="A17">
        <f>DATA!G17</f>
        <v>0</v>
      </c>
      <c r="B17" t="str">
        <f>VLOOKUP(DATA!I17,TOPICALAREAS!A$2:B$76,2,TRUE)</f>
        <v>2a3e9efe-334bc29f-0133-79be1a6a-00003690</v>
      </c>
      <c r="C17" t="str">
        <f>VLOOKUP(DATA!J17,TOPICALAREAS!A$2:B$76,2,TRUE)</f>
        <v>ff808181-1fd7389e-011f-d7389f33-00000012</v>
      </c>
      <c r="D17" t="str">
        <f>VLOOKUP(DATA!K17,TOPICALAREAS!A$2:B$76,2,TRUE)</f>
        <v>402881e6-20a21413-0120-a23e31ea-00000016</v>
      </c>
      <c r="E17" t="e">
        <f>VLOOKUP(DATA!L17,TOPICALAREAS!A$2:B$76,2,TRUE)</f>
        <v>#N/A</v>
      </c>
      <c r="F17" t="e">
        <f>VLOOKUP(DATA!M17,TOPICALAREAS!A17:B91,2,TRUE)</f>
        <v>#N/A</v>
      </c>
    </row>
    <row r="18" spans="1:6" x14ac:dyDescent="0.25">
      <c r="A18">
        <f>DATA!G18</f>
        <v>0</v>
      </c>
      <c r="B18" t="str">
        <f>VLOOKUP(DATA!I18,TOPICALAREAS!A$2:B$76,2,TRUE)</f>
        <v>2a3e9efe-334bc29f-0133-79be1a6a-00003690</v>
      </c>
      <c r="C18" t="str">
        <f>VLOOKUP(DATA!J18,TOPICALAREAS!A$2:B$76,2,TRUE)</f>
        <v>ff808181-1fd7389e-011f-d7389f33-00000012</v>
      </c>
      <c r="D18" t="str">
        <f>VLOOKUP(DATA!K18,TOPICALAREAS!A$2:B$76,2,TRUE)</f>
        <v>402881e6-20a21413-0120-a23e31ea-00000016</v>
      </c>
      <c r="E18" t="e">
        <f>VLOOKUP(DATA!L18,TOPICALAREAS!A$2:B$76,2,TRUE)</f>
        <v>#N/A</v>
      </c>
      <c r="F18" t="e">
        <f>VLOOKUP(DATA!M18,TOPICALAREAS!A$2:B$76,2,TRUE)</f>
        <v>#N/A</v>
      </c>
    </row>
    <row r="19" spans="1:6" x14ac:dyDescent="0.25">
      <c r="A19">
        <f>DATA!G19</f>
        <v>0</v>
      </c>
      <c r="B19" t="str">
        <f>VLOOKUP(DATA!I19,TOPICALAREAS!A$2:B$76,2,TRUE)</f>
        <v>2a3e9efe-334bc29f-0133-79be1a6a-00003690</v>
      </c>
      <c r="C19" t="str">
        <f>VLOOKUP(DATA!J19,TOPICALAREAS!A$2:B$76,2,TRUE)</f>
        <v>ff808181-1fd7389e-011f-d7389f33-00000012</v>
      </c>
      <c r="D19" t="str">
        <f>VLOOKUP(DATA!K19,TOPICALAREAS!A$2:B$76,2,TRUE)</f>
        <v>402881e6-20a21413-0120-a23e31ea-00000016</v>
      </c>
      <c r="E19" t="e">
        <f>VLOOKUP(DATA!L19,TOPICALAREAS!A$2:B$76,2,TRUE)</f>
        <v>#N/A</v>
      </c>
      <c r="F19" t="e">
        <f>VLOOKUP(DATA!M19,TOPICALAREAS!A19:B93,2,TRUE)</f>
        <v>#N/A</v>
      </c>
    </row>
    <row r="20" spans="1:6" x14ac:dyDescent="0.25">
      <c r="A20">
        <f>DATA!G20</f>
        <v>0</v>
      </c>
      <c r="B20" t="str">
        <f>VLOOKUP(DATA!I20,TOPICALAREAS!A$2:B$76,2,TRUE)</f>
        <v>2a3e9efe-334bc29f-0133-79be1a6a-00003690</v>
      </c>
      <c r="C20" t="str">
        <f>VLOOKUP(DATA!J20,TOPICALAREAS!A$2:B$76,2,TRUE)</f>
        <v>ff808181-1fd7389e-011f-d7389f33-00000012</v>
      </c>
      <c r="D20" t="str">
        <f>VLOOKUP(DATA!K20,TOPICALAREAS!A$2:B$76,2,TRUE)</f>
        <v>402881e6-20a21413-0120-a23e31ea-00000016</v>
      </c>
      <c r="E20" t="e">
        <f>VLOOKUP(DATA!L20,TOPICALAREAS!A$2:B$76,2,TRUE)</f>
        <v>#N/A</v>
      </c>
      <c r="F20" t="e">
        <f>VLOOKUP(DATA!M20,TOPICALAREAS!A$2:B$76,2,TRUE)</f>
        <v>#N/A</v>
      </c>
    </row>
    <row r="21" spans="1:6" x14ac:dyDescent="0.25">
      <c r="A21">
        <f>DATA!G21</f>
        <v>0</v>
      </c>
      <c r="B21" t="str">
        <f>VLOOKUP(DATA!I21,TOPICALAREAS!A$2:B$76,2,TRUE)</f>
        <v>2a3e9efe-334bc29f-0133-79be1a6a-00003690</v>
      </c>
      <c r="C21" t="str">
        <f>VLOOKUP(DATA!J21,TOPICALAREAS!A$2:B$76,2,TRUE)</f>
        <v>ff808181-1fd7389e-011f-d7389f33-00000012</v>
      </c>
      <c r="D21" t="str">
        <f>VLOOKUP(DATA!K21,TOPICALAREAS!A$2:B$76,2,TRUE)</f>
        <v>402881e6-20a21413-0120-a23e31ea-00000016</v>
      </c>
      <c r="E21" t="e">
        <f>VLOOKUP(DATA!L21,TOPICALAREAS!A$2:B$76,2,TRUE)</f>
        <v>#N/A</v>
      </c>
      <c r="F21" t="e">
        <f>VLOOKUP(DATA!M21,TOPICALAREAS!A21:B95,2,TRUE)</f>
        <v>#N/A</v>
      </c>
    </row>
    <row r="22" spans="1:6" x14ac:dyDescent="0.25">
      <c r="A22">
        <f>DATA!G22</f>
        <v>0</v>
      </c>
      <c r="B22" t="str">
        <f>VLOOKUP(DATA!I22,TOPICALAREAS!A$2:B$76,2,TRUE)</f>
        <v>2a3e9efe-334bc29f-0133-79be1a6a-00003690</v>
      </c>
      <c r="C22" t="str">
        <f>VLOOKUP(DATA!J22,TOPICALAREAS!A$2:B$76,2,TRUE)</f>
        <v>ff808181-1fd7389e-011f-d7389f33-00000012</v>
      </c>
      <c r="D22" t="str">
        <f>VLOOKUP(DATA!K22,TOPICALAREAS!A$2:B$76,2,TRUE)</f>
        <v>402881e6-20a21413-0120-a23e31ea-00000016</v>
      </c>
      <c r="E22" t="e">
        <f>VLOOKUP(DATA!L22,TOPICALAREAS!A$2:B$76,2,TRUE)</f>
        <v>#N/A</v>
      </c>
      <c r="F22" t="e">
        <f>VLOOKUP(DATA!M22,TOPICALAREAS!A$2:B$76,2,TRUE)</f>
        <v>#N/A</v>
      </c>
    </row>
    <row r="23" spans="1:6" x14ac:dyDescent="0.25">
      <c r="A23">
        <f>DATA!G23</f>
        <v>0</v>
      </c>
      <c r="B23" t="str">
        <f>VLOOKUP(DATA!I23,TOPICALAREAS!A$2:B$76,2,TRUE)</f>
        <v>2a3e9efe-334bc29f-0133-79be1a6a-00003690</v>
      </c>
      <c r="C23" t="str">
        <f>VLOOKUP(DATA!J23,TOPICALAREAS!A$2:B$76,2,TRUE)</f>
        <v>ff808181-1fd7389e-011f-d7389f33-00000012</v>
      </c>
      <c r="D23" t="str">
        <f>VLOOKUP(DATA!K23,TOPICALAREAS!A$2:B$76,2,TRUE)</f>
        <v>402881e6-20a21413-0120-a23e31ea-00000016</v>
      </c>
      <c r="E23" t="e">
        <f>VLOOKUP(DATA!L23,TOPICALAREAS!A$2:B$76,2,TRUE)</f>
        <v>#N/A</v>
      </c>
      <c r="F23" t="e">
        <f>VLOOKUP(DATA!M23,TOPICALAREAS!A23:B97,2,TRUE)</f>
        <v>#N/A</v>
      </c>
    </row>
    <row r="24" spans="1:6" x14ac:dyDescent="0.25">
      <c r="A24">
        <f>DATA!G24</f>
        <v>0</v>
      </c>
      <c r="B24" t="str">
        <f>VLOOKUP(DATA!I24,TOPICALAREAS!A$2:B$76,2,TRUE)</f>
        <v>2a3e9efe-334bc29f-0133-79be1a6a-00003690</v>
      </c>
      <c r="C24" t="str">
        <f>VLOOKUP(DATA!J24,TOPICALAREAS!A$2:B$76,2,TRUE)</f>
        <v>ff808181-1fd7389e-011f-d7389f33-00000012</v>
      </c>
      <c r="D24" t="str">
        <f>VLOOKUP(DATA!K24,TOPICALAREAS!A$2:B$76,2,TRUE)</f>
        <v>402881e6-20a21413-0120-a23e31ea-00000016</v>
      </c>
      <c r="E24" t="e">
        <f>VLOOKUP(DATA!L24,TOPICALAREAS!A$2:B$76,2,TRUE)</f>
        <v>#N/A</v>
      </c>
      <c r="F24" t="e">
        <f>VLOOKUP(DATA!M24,TOPICALAREAS!A$2:B$76,2,TRUE)</f>
        <v>#N/A</v>
      </c>
    </row>
    <row r="25" spans="1:6" x14ac:dyDescent="0.25">
      <c r="A25">
        <f>DATA!G25</f>
        <v>0</v>
      </c>
      <c r="B25" t="str">
        <f>VLOOKUP(DATA!I25,TOPICALAREAS!A$2:B$76,2,TRUE)</f>
        <v>2a3e9efe-334bc29f-0133-79be1a6a-00003690</v>
      </c>
      <c r="C25" t="str">
        <f>VLOOKUP(DATA!J25,TOPICALAREAS!A$2:B$76,2,TRUE)</f>
        <v>ff808181-1fd7389e-011f-d7389f33-00000012</v>
      </c>
      <c r="D25" t="str">
        <f>VLOOKUP(DATA!K25,TOPICALAREAS!A$2:B$76,2,TRUE)</f>
        <v>402881e6-20a21413-0120-a23e31ea-00000016</v>
      </c>
      <c r="E25" t="e">
        <f>VLOOKUP(DATA!L25,TOPICALAREAS!A$2:B$76,2,TRUE)</f>
        <v>#N/A</v>
      </c>
      <c r="F25" t="e">
        <f>VLOOKUP(DATA!M25,TOPICALAREAS!A25:B99,2,TRUE)</f>
        <v>#N/A</v>
      </c>
    </row>
    <row r="26" spans="1:6" x14ac:dyDescent="0.25">
      <c r="A26">
        <f>DATA!G26</f>
        <v>0</v>
      </c>
      <c r="B26" t="str">
        <f>VLOOKUP(DATA!I26,TOPICALAREAS!A$2:B$76,2,TRUE)</f>
        <v>2a3e9efe-334bc29f-0133-79be1a6a-00003690</v>
      </c>
      <c r="C26" t="str">
        <f>VLOOKUP(DATA!J26,TOPICALAREAS!A$2:B$76,2,TRUE)</f>
        <v>ff808181-1fd7389e-011f-d7389f33-00000012</v>
      </c>
      <c r="D26" t="str">
        <f>VLOOKUP(DATA!K26,TOPICALAREAS!A$2:B$76,2,TRUE)</f>
        <v>402881e6-20a21413-0120-a23e31ea-00000016</v>
      </c>
      <c r="E26" t="e">
        <f>VLOOKUP(DATA!L26,TOPICALAREAS!A$2:B$76,2,TRUE)</f>
        <v>#N/A</v>
      </c>
      <c r="F26" t="e">
        <f>VLOOKUP(DATA!M26,TOPICALAREAS!A$2:B$76,2,TRUE)</f>
        <v>#N/A</v>
      </c>
    </row>
    <row r="27" spans="1:6" x14ac:dyDescent="0.25">
      <c r="A27">
        <f>DATA!G27</f>
        <v>0</v>
      </c>
      <c r="B27" t="str">
        <f>VLOOKUP(DATA!I27,TOPICALAREAS!A$2:B$76,2,TRUE)</f>
        <v>2a3e9efe-334bc29f-0133-79be1a6a-00003690</v>
      </c>
      <c r="C27" t="e">
        <f>VLOOKUP(DATA!J27,TOPICALAREAS!A$2:B$76,2,TRUE)</f>
        <v>#N/A</v>
      </c>
      <c r="D27" t="e">
        <f>VLOOKUP(DATA!K27,TOPICALAREAS!A$2:B$76,2,TRUE)</f>
        <v>#N/A</v>
      </c>
      <c r="E27" t="e">
        <f>VLOOKUP(DATA!L27,TOPICALAREAS!A$2:B$76,2,TRUE)</f>
        <v>#N/A</v>
      </c>
      <c r="F27" t="e">
        <f>VLOOKUP(DATA!M27,TOPICALAREAS!A27:B101,2,TRUE)</f>
        <v>#N/A</v>
      </c>
    </row>
    <row r="28" spans="1:6" x14ac:dyDescent="0.25">
      <c r="A28">
        <f>DATA!G28</f>
        <v>0</v>
      </c>
      <c r="B28" t="str">
        <f>VLOOKUP(DATA!I28,TOPICALAREAS!A$2:B$76,2,TRUE)</f>
        <v>2a3e9efe-334bc29f-0133-79be1a6a-00003690</v>
      </c>
      <c r="C28" t="e">
        <f>VLOOKUP(DATA!J28,TOPICALAREAS!A$2:B$76,2,TRUE)</f>
        <v>#N/A</v>
      </c>
      <c r="D28" t="e">
        <f>VLOOKUP(DATA!K28,TOPICALAREAS!A$2:B$76,2,TRUE)</f>
        <v>#N/A</v>
      </c>
      <c r="E28" t="e">
        <f>VLOOKUP(DATA!L28,TOPICALAREAS!A$2:B$76,2,TRUE)</f>
        <v>#N/A</v>
      </c>
      <c r="F28" t="e">
        <f>VLOOKUP(DATA!M28,TOPICALAREAS!A$2:B$76,2,TRUE)</f>
        <v>#N/A</v>
      </c>
    </row>
    <row r="29" spans="1:6" x14ac:dyDescent="0.25">
      <c r="A29">
        <f>DATA!G29</f>
        <v>0</v>
      </c>
      <c r="B29" t="str">
        <f>VLOOKUP(DATA!I29,TOPICALAREAS!A$2:B$76,2,TRUE)</f>
        <v>2a3e9efe-334bc29f-0133-79be1a6a-00003690</v>
      </c>
      <c r="C29" t="str">
        <f>VLOOKUP(DATA!J29,TOPICALAREAS!A$2:B$76,2,TRUE)</f>
        <v>402881e6-20a21413-0120-a23d71e5-00000015</v>
      </c>
      <c r="D29" t="e">
        <f>VLOOKUP(DATA!K29,TOPICALAREAS!A$2:B$76,2,TRUE)</f>
        <v>#N/A</v>
      </c>
      <c r="E29" t="str">
        <f>VLOOKUP(DATA!L29,TOPICALAREAS!A$2:B$76,2,TRUE)</f>
        <v>2a3e9efe-35dd67b8-0135-f8474b67-00005c80</v>
      </c>
      <c r="F29" t="e">
        <f>VLOOKUP(DATA!M29,TOPICALAREAS!A29:B103,2,TRUE)</f>
        <v>#N/A</v>
      </c>
    </row>
    <row r="30" spans="1:6" x14ac:dyDescent="0.25">
      <c r="A30">
        <f>DATA!G30</f>
        <v>0</v>
      </c>
      <c r="B30" t="str">
        <f>VLOOKUP(DATA!I30,TOPICALAREAS!A$2:B$76,2,TRUE)</f>
        <v>2a3e9efe-334bc29f-0133-79be1a6a-00003690</v>
      </c>
      <c r="C30" t="str">
        <f>VLOOKUP(DATA!J30,TOPICALAREAS!A$2:B$76,2,TRUE)</f>
        <v>402881e6-20a21413-0120-a23d71e5-00000015</v>
      </c>
      <c r="D30" t="e">
        <f>VLOOKUP(DATA!K30,TOPICALAREAS!A$2:B$76,2,TRUE)</f>
        <v>#N/A</v>
      </c>
      <c r="E30" t="str">
        <f>VLOOKUP(DATA!L30,TOPICALAREAS!A$2:B$76,2,TRUE)</f>
        <v>2a3e9efe-35dd67b8-0135-f8474b67-00005c80</v>
      </c>
      <c r="F30" t="e">
        <f>VLOOKUP(DATA!M30,TOPICALAREAS!A$2:B$76,2,TRUE)</f>
        <v>#N/A</v>
      </c>
    </row>
    <row r="31" spans="1:6" x14ac:dyDescent="0.25">
      <c r="A31">
        <f>DATA!G31</f>
        <v>0</v>
      </c>
      <c r="B31" t="str">
        <f>VLOOKUP(DATA!I31,TOPICALAREAS!A$2:B$76,2,TRUE)</f>
        <v>2a3e9efe-334bc29f-0133-79be1a6a-00003690</v>
      </c>
      <c r="C31" t="e">
        <f>VLOOKUP(DATA!J31,TOPICALAREAS!A$2:B$76,2,TRUE)</f>
        <v>#N/A</v>
      </c>
      <c r="D31" t="e">
        <f>VLOOKUP(DATA!K31,TOPICALAREAS!A$2:B$76,2,TRUE)</f>
        <v>#N/A</v>
      </c>
      <c r="E31" t="e">
        <f>VLOOKUP(DATA!L31,TOPICALAREAS!A$2:B$76,2,TRUE)</f>
        <v>#N/A</v>
      </c>
      <c r="F31" t="e">
        <f>VLOOKUP(DATA!M31,TOPICALAREAS!A31:B105,2,TRUE)</f>
        <v>#N/A</v>
      </c>
    </row>
    <row r="32" spans="1:6" x14ac:dyDescent="0.25">
      <c r="A32">
        <f>DATA!G32</f>
        <v>0</v>
      </c>
      <c r="B32" t="str">
        <f>VLOOKUP(DATA!I32,TOPICALAREAS!A$2:B$76,2,TRUE)</f>
        <v>2a3e9efe-334bc29f-0133-79be1a6a-00003690</v>
      </c>
      <c r="C32" t="e">
        <f>VLOOKUP(DATA!J32,TOPICALAREAS!A$2:B$76,2,TRUE)</f>
        <v>#N/A</v>
      </c>
      <c r="D32" t="e">
        <f>VLOOKUP(DATA!K32,TOPICALAREAS!A$2:B$76,2,TRUE)</f>
        <v>#N/A</v>
      </c>
      <c r="E32" t="e">
        <f>VLOOKUP(DATA!L32,TOPICALAREAS!A$2:B$76,2,TRUE)</f>
        <v>#N/A</v>
      </c>
      <c r="F32" t="e">
        <f>VLOOKUP(DATA!M32,TOPICALAREAS!A$2:B$76,2,TRUE)</f>
        <v>#N/A</v>
      </c>
    </row>
    <row r="33" spans="1:6" x14ac:dyDescent="0.25">
      <c r="A33">
        <f>DATA!G33</f>
        <v>0</v>
      </c>
      <c r="B33" t="str">
        <f>VLOOKUP(DATA!I33,TOPICALAREAS!A$2:B$76,2,TRUE)</f>
        <v>2a3e9efe-334bc29f-0133-79be1a6a-00003690</v>
      </c>
      <c r="C33" t="e">
        <f>VLOOKUP(DATA!J33,TOPICALAREAS!A$2:B$76,2,TRUE)</f>
        <v>#N/A</v>
      </c>
      <c r="D33" t="e">
        <f>VLOOKUP(DATA!K33,TOPICALAREAS!A$2:B$76,2,TRUE)</f>
        <v>#N/A</v>
      </c>
      <c r="E33" t="str">
        <f>VLOOKUP(DATA!L33,TOPICALAREAS!A$2:B$76,2,TRUE)</f>
        <v>2a3e9efe-35dd67b8-0135-f8474b67-00005c80</v>
      </c>
      <c r="F33" t="e">
        <f>VLOOKUP(DATA!M33,TOPICALAREAS!A33:B107,2,TRUE)</f>
        <v>#N/A</v>
      </c>
    </row>
    <row r="34" spans="1:6" x14ac:dyDescent="0.25">
      <c r="A34">
        <f>DATA!G34</f>
        <v>0</v>
      </c>
      <c r="B34" t="str">
        <f>VLOOKUP(DATA!I34,TOPICALAREAS!A$2:B$76,2,TRUE)</f>
        <v>2a3e9efe-334bc29f-0133-79be1a6a-00003690</v>
      </c>
      <c r="C34" t="e">
        <f>VLOOKUP(DATA!J34,TOPICALAREAS!A$2:B$76,2,TRUE)</f>
        <v>#N/A</v>
      </c>
      <c r="D34" t="e">
        <f>VLOOKUP(DATA!K34,TOPICALAREAS!A$2:B$76,2,TRUE)</f>
        <v>#N/A</v>
      </c>
      <c r="E34" t="str">
        <f>VLOOKUP(DATA!L34,TOPICALAREAS!A$2:B$76,2,TRUE)</f>
        <v>2a3e9efe-35dd67b8-0135-f8474b67-00005c80</v>
      </c>
      <c r="F34" t="e">
        <f>VLOOKUP(DATA!M34,TOPICALAREAS!A$2:B$76,2,TRUE)</f>
        <v>#N/A</v>
      </c>
    </row>
    <row r="35" spans="1:6" x14ac:dyDescent="0.25">
      <c r="A35">
        <f>DATA!G35</f>
        <v>0</v>
      </c>
      <c r="B35" t="str">
        <f>VLOOKUP(DATA!I35,TOPICALAREAS!A$2:B$76,2,TRUE)</f>
        <v>2a3e9efe-334bc29f-0133-79be1a6a-00003690</v>
      </c>
      <c r="C35" t="str">
        <f>VLOOKUP(DATA!J35,TOPICALAREAS!A$2:B$76,2,TRUE)</f>
        <v>2a3e9efe-334bc29f-0133-f15025d1-00001dfa</v>
      </c>
      <c r="D35" t="e">
        <f>VLOOKUP(DATA!K35,TOPICALAREAS!A$2:B$76,2,TRUE)</f>
        <v>#N/A</v>
      </c>
      <c r="E35" t="str">
        <f>VLOOKUP(DATA!L35,TOPICALAREAS!A$2:B$76,2,TRUE)</f>
        <v>2a3e9efe-35dd67b8-0135-f8474b67-00005c80</v>
      </c>
      <c r="F35" t="e">
        <f>VLOOKUP(DATA!M35,TOPICALAREAS!A35:B109,2,TRUE)</f>
        <v>#N/A</v>
      </c>
    </row>
    <row r="36" spans="1:6" x14ac:dyDescent="0.25">
      <c r="A36">
        <f>DATA!G36</f>
        <v>0</v>
      </c>
      <c r="B36" t="str">
        <f>VLOOKUP(DATA!I36,TOPICALAREAS!A$2:B$76,2,TRUE)</f>
        <v>2a3e9efe-334bc29f-0133-79be1a6a-00003690</v>
      </c>
      <c r="C36" t="e">
        <f>VLOOKUP(DATA!J36,TOPICALAREAS!A$2:B$76,2,TRUE)</f>
        <v>#N/A</v>
      </c>
      <c r="D36" t="e">
        <f>VLOOKUP(DATA!K36,TOPICALAREAS!A$2:B$76,2,TRUE)</f>
        <v>#N/A</v>
      </c>
      <c r="E36" t="str">
        <f>VLOOKUP(DATA!L36,TOPICALAREAS!A$2:B$76,2,TRUE)</f>
        <v>2a3e9efe-35dd67b8-0135-f8474b67-00005c80</v>
      </c>
      <c r="F36" t="e">
        <f>VLOOKUP(DATA!M36,TOPICALAREAS!A$2:B$76,2,TRUE)</f>
        <v>#N/A</v>
      </c>
    </row>
    <row r="37" spans="1:6" x14ac:dyDescent="0.25">
      <c r="A37">
        <f>DATA!G37</f>
        <v>0</v>
      </c>
      <c r="B37" t="str">
        <f>VLOOKUP(DATA!I37,TOPICALAREAS!A$2:B$76,2,TRUE)</f>
        <v>2a3e9efe-334bc29f-0133-79be1a6a-00003690</v>
      </c>
      <c r="C37" t="str">
        <f>VLOOKUP(DATA!J37,TOPICALAREAS!A$2:B$76,2,TRUE)</f>
        <v>402881e6-20a21413-0120-a23d71e5-00000015</v>
      </c>
      <c r="D37" t="e">
        <f>VLOOKUP(DATA!K37,TOPICALAREAS!A$2:B$76,2,TRUE)</f>
        <v>#N/A</v>
      </c>
      <c r="E37" t="str">
        <f>VLOOKUP(DATA!L37,TOPICALAREAS!A$2:B$76,2,TRUE)</f>
        <v>2a3e9efe-35dd67b8-0135-f8474b67-00005c80</v>
      </c>
      <c r="F37" t="e">
        <f>VLOOKUP(DATA!M37,TOPICALAREAS!A37:B111,2,TRUE)</f>
        <v>#N/A</v>
      </c>
    </row>
    <row r="38" spans="1:6" x14ac:dyDescent="0.25">
      <c r="A38">
        <f>DATA!G38</f>
        <v>0</v>
      </c>
      <c r="B38" t="str">
        <f>VLOOKUP(DATA!I38,TOPICALAREAS!A$2:B$76,2,TRUE)</f>
        <v>2a3e9efe-334bc29f-0133-79be1a6a-00003690</v>
      </c>
      <c r="C38" t="str">
        <f>VLOOKUP(DATA!J38,TOPICALAREAS!A$2:B$76,2,TRUE)</f>
        <v>402881e6-20a21413-0120-a23d71e5-00000015</v>
      </c>
      <c r="D38" t="e">
        <f>VLOOKUP(DATA!K38,TOPICALAREAS!A$2:B$76,2,TRUE)</f>
        <v>#N/A</v>
      </c>
      <c r="E38" t="str">
        <f>VLOOKUP(DATA!L38,TOPICALAREAS!A$2:B$76,2,TRUE)</f>
        <v>2a3e9efe-35dd67b8-0135-f8474b67-00005c80</v>
      </c>
      <c r="F38" t="e">
        <f>VLOOKUP(DATA!M38,TOPICALAREAS!A$2:B$76,2,TRUE)</f>
        <v>#N/A</v>
      </c>
    </row>
    <row r="39" spans="1:6" x14ac:dyDescent="0.25">
      <c r="A39">
        <f>DATA!G39</f>
        <v>0</v>
      </c>
      <c r="B39" t="e">
        <f>VLOOKUP(DATA!I39,TOPICALAREAS!A$2:B$76,2,TRUE)</f>
        <v>#N/A</v>
      </c>
      <c r="C39" t="e">
        <f>VLOOKUP(DATA!J39,TOPICALAREAS!A$2:B$76,2,TRUE)</f>
        <v>#N/A</v>
      </c>
      <c r="D39" t="e">
        <f>VLOOKUP(DATA!K39,TOPICALAREAS!A$2:B$76,2,TRUE)</f>
        <v>#N/A</v>
      </c>
      <c r="E39" t="e">
        <f>VLOOKUP(DATA!L39,TOPICALAREAS!A$2:B$76,2,TRUE)</f>
        <v>#N/A</v>
      </c>
      <c r="F39" t="e">
        <f>VLOOKUP(DATA!M39,TOPICALAREAS!A39:B113,2,TRUE)</f>
        <v>#N/A</v>
      </c>
    </row>
    <row r="40" spans="1:6" x14ac:dyDescent="0.25">
      <c r="A40">
        <f>DATA!G40</f>
        <v>0</v>
      </c>
      <c r="B40" t="str">
        <f>VLOOKUP(DATA!I40,TOPICALAREAS!A$2:B$76,2,TRUE)</f>
        <v>2a3e9efe-334bc29f-0133-79be1a6a-00003690</v>
      </c>
      <c r="C40" t="str">
        <f>VLOOKUP(DATA!J40,TOPICALAREAS!A$2:B$76,2,TRUE)</f>
        <v>2a3e9efe-334bc29f-0133-f15025d1-00001dfa</v>
      </c>
      <c r="D40" t="e">
        <f>VLOOKUP(DATA!K40,TOPICALAREAS!A$2:B$76,2,TRUE)</f>
        <v>#N/A</v>
      </c>
      <c r="E40" t="str">
        <f>VLOOKUP(DATA!L40,TOPICALAREAS!A$2:B$76,2,TRUE)</f>
        <v>2a3e9efe-35dd67b8-0135-f8474b67-00005c80</v>
      </c>
      <c r="F40" t="e">
        <f>VLOOKUP(DATA!M40,TOPICALAREAS!A$2:B$76,2,TRUE)</f>
        <v>#N/A</v>
      </c>
    </row>
    <row r="41" spans="1:6" x14ac:dyDescent="0.25">
      <c r="A41">
        <f>DATA!G41</f>
        <v>0</v>
      </c>
      <c r="B41" t="e">
        <f>VLOOKUP(DATA!I41,TOPICALAREAS!A$2:B$76,2,TRUE)</f>
        <v>#N/A</v>
      </c>
      <c r="C41" t="e">
        <f>VLOOKUP(DATA!J41,TOPICALAREAS!A$2:B$76,2,TRUE)</f>
        <v>#N/A</v>
      </c>
      <c r="D41" t="e">
        <f>VLOOKUP(DATA!K41,TOPICALAREAS!A$2:B$76,2,TRUE)</f>
        <v>#N/A</v>
      </c>
      <c r="E41" t="e">
        <f>VLOOKUP(DATA!L41,TOPICALAREAS!A$2:B$76,2,TRUE)</f>
        <v>#N/A</v>
      </c>
      <c r="F41" t="e">
        <f>VLOOKUP(DATA!M41,TOPICALAREAS!A41:B115,2,TRUE)</f>
        <v>#N/A</v>
      </c>
    </row>
    <row r="42" spans="1:6" x14ac:dyDescent="0.25">
      <c r="A42">
        <f>DATA!G42</f>
        <v>0</v>
      </c>
      <c r="B42" t="str">
        <f>VLOOKUP(DATA!I42,TOPICALAREAS!A$2:B$76,2,TRUE)</f>
        <v>2a3e9efe-334bc29f-0133-79be1a6a-00003690</v>
      </c>
      <c r="C42" t="e">
        <f>VLOOKUP(DATA!J42,TOPICALAREAS!A$2:B$76,2,TRUE)</f>
        <v>#N/A</v>
      </c>
      <c r="D42" t="e">
        <f>VLOOKUP(DATA!K42,TOPICALAREAS!A$2:B$76,2,TRUE)</f>
        <v>#N/A</v>
      </c>
      <c r="E42" t="str">
        <f>VLOOKUP(DATA!L42,TOPICALAREAS!A$2:B$76,2,TRUE)</f>
        <v>2a3e9efe-35dd67b8-0135-f8474b67-00005c80</v>
      </c>
      <c r="F42" t="e">
        <f>VLOOKUP(DATA!M42,TOPICALAREAS!A$2:B$76,2,TRUE)</f>
        <v>#N/A</v>
      </c>
    </row>
    <row r="43" spans="1:6" x14ac:dyDescent="0.25">
      <c r="A43">
        <f>DATA!G43</f>
        <v>0</v>
      </c>
      <c r="B43" t="str">
        <f>VLOOKUP(DATA!I43,TOPICALAREAS!A$2:B$76,2,TRUE)</f>
        <v>2a3e9efe-334bc29f-0133-79be1a6a-00003690</v>
      </c>
      <c r="C43" t="e">
        <f>VLOOKUP(DATA!J43,TOPICALAREAS!A$2:B$76,2,TRUE)</f>
        <v>#N/A</v>
      </c>
      <c r="D43" t="e">
        <f>VLOOKUP(DATA!K43,TOPICALAREAS!A$2:B$76,2,TRUE)</f>
        <v>#N/A</v>
      </c>
      <c r="E43" t="str">
        <f>VLOOKUP(DATA!L43,TOPICALAREAS!A$2:B$76,2,TRUE)</f>
        <v>2a3e9efe-35dd67b8-0135-f8474b67-00005c80</v>
      </c>
      <c r="F43" t="e">
        <f>VLOOKUP(DATA!M43,TOPICALAREAS!A43:B117,2,TRUE)</f>
        <v>#N/A</v>
      </c>
    </row>
    <row r="44" spans="1:6" x14ac:dyDescent="0.25">
      <c r="A44">
        <f>DATA!G44</f>
        <v>0</v>
      </c>
      <c r="B44" t="str">
        <f>VLOOKUP(DATA!I44,TOPICALAREAS!A$2:B$76,2,TRUE)</f>
        <v>2a3e9efe-334bc29f-0133-79be1a6a-00003690</v>
      </c>
      <c r="C44" t="e">
        <f>VLOOKUP(DATA!J44,TOPICALAREAS!A$2:B$76,2,TRUE)</f>
        <v>#N/A</v>
      </c>
      <c r="D44" t="str">
        <f>VLOOKUP(DATA!K44,TOPICALAREAS!A$2:B$76,2,TRUE)</f>
        <v>2a3e9efe-334bc29f-0133-7a00e56f-000036cc</v>
      </c>
      <c r="E44" t="str">
        <f>VLOOKUP(DATA!L44,TOPICALAREAS!A$2:B$76,2,TRUE)</f>
        <v>2a3e9efe-35dd67b8-0135-f8474b67-00005c80</v>
      </c>
      <c r="F44" t="e">
        <f>VLOOKUP(DATA!M44,TOPICALAREAS!A$2:B$76,2,TRUE)</f>
        <v>#N/A</v>
      </c>
    </row>
    <row r="45" spans="1:6" x14ac:dyDescent="0.25">
      <c r="A45">
        <f>DATA!G45</f>
        <v>0</v>
      </c>
      <c r="B45" t="str">
        <f>VLOOKUP(DATA!I45,TOPICALAREAS!A$2:B$76,2,TRUE)</f>
        <v>2a3e9efe-334bc29f-0133-79be1a6a-00003690</v>
      </c>
      <c r="C45" t="e">
        <f>VLOOKUP(DATA!J45,TOPICALAREAS!A$2:B$76,2,TRUE)</f>
        <v>#N/A</v>
      </c>
      <c r="D45" t="e">
        <f>VLOOKUP(DATA!K45,TOPICALAREAS!A$2:B$76,2,TRUE)</f>
        <v>#N/A</v>
      </c>
      <c r="E45" t="e">
        <f>VLOOKUP(DATA!L45,TOPICALAREAS!A$2:B$76,2,TRUE)</f>
        <v>#N/A</v>
      </c>
      <c r="F45" t="e">
        <f>VLOOKUP(DATA!M45,TOPICALAREAS!A45:B119,2,TRUE)</f>
        <v>#N/A</v>
      </c>
    </row>
    <row r="46" spans="1:6" x14ac:dyDescent="0.25">
      <c r="A46">
        <f>DATA!G46</f>
        <v>0</v>
      </c>
      <c r="B46" t="str">
        <f>VLOOKUP(DATA!I46,TOPICALAREAS!A$2:B$76,2,TRUE)</f>
        <v>2a3e9efe-334bc29f-0133-79be1a6a-00003690</v>
      </c>
      <c r="C46" t="e">
        <f>VLOOKUP(DATA!J46,TOPICALAREAS!A$2:B$76,2,TRUE)</f>
        <v>#N/A</v>
      </c>
      <c r="D46" t="e">
        <f>VLOOKUP(DATA!K46,TOPICALAREAS!A$2:B$76,2,TRUE)</f>
        <v>#N/A</v>
      </c>
      <c r="E46" t="e">
        <f>VLOOKUP(DATA!L46,TOPICALAREAS!A$2:B$76,2,TRUE)</f>
        <v>#N/A</v>
      </c>
      <c r="F46" t="e">
        <f>VLOOKUP(DATA!M46,TOPICALAREAS!A$2:B$76,2,TRUE)</f>
        <v>#N/A</v>
      </c>
    </row>
    <row r="47" spans="1:6" x14ac:dyDescent="0.25">
      <c r="A47">
        <f>DATA!G47</f>
        <v>0</v>
      </c>
      <c r="B47" t="str">
        <f>VLOOKUP(DATA!I47,TOPICALAREAS!A$2:B$76,2,TRUE)</f>
        <v>2a3e9efe-334bc29f-0133-79be1a6a-00003690</v>
      </c>
      <c r="C47" t="e">
        <f>VLOOKUP(DATA!J47,TOPICALAREAS!A$2:B$76,2,TRUE)</f>
        <v>#N/A</v>
      </c>
      <c r="D47" t="str">
        <f>VLOOKUP(DATA!K47,TOPICALAREAS!A$2:B$76,2,TRUE)</f>
        <v>2a3e9efe-334bc29f-0133-f15087f5-00001dfb</v>
      </c>
      <c r="E47" t="e">
        <f>VLOOKUP(DATA!L47,TOPICALAREAS!A$2:B$76,2,TRUE)</f>
        <v>#N/A</v>
      </c>
      <c r="F47" t="e">
        <f>VLOOKUP(DATA!M47,TOPICALAREAS!A47:B121,2,TRUE)</f>
        <v>#N/A</v>
      </c>
    </row>
    <row r="48" spans="1:6" x14ac:dyDescent="0.25">
      <c r="A48">
        <f>DATA!G48</f>
        <v>0</v>
      </c>
      <c r="B48" t="str">
        <f>VLOOKUP(DATA!I48,TOPICALAREAS!A$2:B$76,2,TRUE)</f>
        <v>2a3e9efe-334bc29f-0133-79be1a6a-00003690</v>
      </c>
      <c r="C48" t="e">
        <f>VLOOKUP(DATA!J48,TOPICALAREAS!A$2:B$76,2,TRUE)</f>
        <v>#N/A</v>
      </c>
      <c r="D48" t="str">
        <f>VLOOKUP(DATA!K48,TOPICALAREAS!A$2:B$76,2,TRUE)</f>
        <v>2a3e9efe-334bc29f-0133-f15087f5-00001dfb</v>
      </c>
      <c r="E48" t="e">
        <f>VLOOKUP(DATA!L48,TOPICALAREAS!A$2:B$76,2,TRUE)</f>
        <v>#N/A</v>
      </c>
      <c r="F48" t="e">
        <f>VLOOKUP(DATA!M48,TOPICALAREAS!A$2:B$76,2,TRUE)</f>
        <v>#N/A</v>
      </c>
    </row>
    <row r="49" spans="1:6" x14ac:dyDescent="0.25">
      <c r="A49">
        <f>DATA!G49</f>
        <v>0</v>
      </c>
      <c r="B49" t="str">
        <f>VLOOKUP(DATA!I49,TOPICALAREAS!A$2:B$76,2,TRUE)</f>
        <v>2a3e9efe-334bc29f-0133-79be1a6a-00003690</v>
      </c>
      <c r="C49" t="e">
        <f>VLOOKUP(DATA!J49,TOPICALAREAS!A$2:B$76,2,TRUE)</f>
        <v>#N/A</v>
      </c>
      <c r="D49" t="str">
        <f>VLOOKUP(DATA!K49,TOPICALAREAS!A$2:B$76,2,TRUE)</f>
        <v>2a3e9efe-334bc29f-0133-f15087f5-00001dfb</v>
      </c>
      <c r="E49" t="e">
        <f>VLOOKUP(DATA!L49,TOPICALAREAS!A$2:B$76,2,TRUE)</f>
        <v>#N/A</v>
      </c>
      <c r="F49" t="e">
        <f>VLOOKUP(DATA!M49,TOPICALAREAS!A49:B123,2,TRUE)</f>
        <v>#N/A</v>
      </c>
    </row>
    <row r="50" spans="1:6" x14ac:dyDescent="0.25">
      <c r="A50">
        <f>DATA!G50</f>
        <v>0</v>
      </c>
      <c r="B50" t="e">
        <f>VLOOKUP(DATA!I50,TOPICALAREAS!A$2:B$76,2,TRUE)</f>
        <v>#N/A</v>
      </c>
      <c r="C50" t="e">
        <f>VLOOKUP(DATA!J50,TOPICALAREAS!A$2:B$76,2,TRUE)</f>
        <v>#N/A</v>
      </c>
      <c r="D50" t="e">
        <f>VLOOKUP(DATA!K50,TOPICALAREAS!A$2:B$76,2,TRUE)</f>
        <v>#N/A</v>
      </c>
      <c r="E50" t="e">
        <f>VLOOKUP(DATA!L50,TOPICALAREAS!A$2:B$76,2,TRUE)</f>
        <v>#N/A</v>
      </c>
      <c r="F50" t="e">
        <f>VLOOKUP(DATA!M50,TOPICALAREAS!A$2:B$76,2,TRUE)</f>
        <v>#N/A</v>
      </c>
    </row>
    <row r="51" spans="1:6" x14ac:dyDescent="0.25">
      <c r="A51">
        <f>DATA!G51</f>
        <v>0</v>
      </c>
      <c r="B51" t="e">
        <f>VLOOKUP(DATA!I51,TOPICALAREAS!A$2:B$76,2,TRUE)</f>
        <v>#N/A</v>
      </c>
      <c r="C51" t="e">
        <f>VLOOKUP(DATA!J51,TOPICALAREAS!A$2:B$76,2,TRUE)</f>
        <v>#N/A</v>
      </c>
      <c r="D51" t="e">
        <f>VLOOKUP(DATA!K51,TOPICALAREAS!A$2:B$76,2,TRUE)</f>
        <v>#N/A</v>
      </c>
      <c r="E51" t="e">
        <f>VLOOKUP(DATA!L51,TOPICALAREAS!A$2:B$76,2,TRUE)</f>
        <v>#N/A</v>
      </c>
      <c r="F51" t="e">
        <f>VLOOKUP(DATA!M51,TOPICALAREAS!A51:B125,2,TRUE)</f>
        <v>#N/A</v>
      </c>
    </row>
    <row r="52" spans="1:6" x14ac:dyDescent="0.25">
      <c r="A52">
        <f>DATA!G52</f>
        <v>0</v>
      </c>
      <c r="B52" t="e">
        <f>VLOOKUP(DATA!I52,TOPICALAREAS!A$2:B$76,2,TRUE)</f>
        <v>#N/A</v>
      </c>
      <c r="C52" t="e">
        <f>VLOOKUP(DATA!J52,TOPICALAREAS!A$2:B$76,2,TRUE)</f>
        <v>#N/A</v>
      </c>
      <c r="D52" t="e">
        <f>VLOOKUP(DATA!K52,TOPICALAREAS!A$2:B$76,2,TRUE)</f>
        <v>#N/A</v>
      </c>
      <c r="E52" t="e">
        <f>VLOOKUP(DATA!L52,TOPICALAREAS!A$2:B$76,2,TRUE)</f>
        <v>#N/A</v>
      </c>
      <c r="F52" t="e">
        <f>VLOOKUP(DATA!M52,TOPICALAREAS!A$2:B$76,2,TRUE)</f>
        <v>#N/A</v>
      </c>
    </row>
    <row r="53" spans="1:6" x14ac:dyDescent="0.25">
      <c r="A53">
        <f>DATA!G53</f>
        <v>0</v>
      </c>
      <c r="B53" t="e">
        <f>VLOOKUP(DATA!I53,TOPICALAREAS!A$2:B$76,2,TRUE)</f>
        <v>#N/A</v>
      </c>
      <c r="C53" t="e">
        <f>VLOOKUP(DATA!J53,TOPICALAREAS!A$2:B$76,2,TRUE)</f>
        <v>#N/A</v>
      </c>
      <c r="D53" t="e">
        <f>VLOOKUP(DATA!K53,TOPICALAREAS!A$2:B$76,2,TRUE)</f>
        <v>#N/A</v>
      </c>
      <c r="E53" t="e">
        <f>VLOOKUP(DATA!L53,TOPICALAREAS!A$2:B$76,2,TRUE)</f>
        <v>#N/A</v>
      </c>
      <c r="F53" t="e">
        <f>VLOOKUP(DATA!M53,TOPICALAREAS!A53:B127,2,TRUE)</f>
        <v>#N/A</v>
      </c>
    </row>
    <row r="54" spans="1:6" x14ac:dyDescent="0.25">
      <c r="A54">
        <f>DATA!G54</f>
        <v>0</v>
      </c>
      <c r="B54" t="e">
        <f>VLOOKUP(DATA!I54,TOPICALAREAS!A$2:B$76,2,TRUE)</f>
        <v>#N/A</v>
      </c>
      <c r="C54" t="e">
        <f>VLOOKUP(DATA!J54,TOPICALAREAS!A$2:B$76,2,TRUE)</f>
        <v>#N/A</v>
      </c>
      <c r="D54" t="e">
        <f>VLOOKUP(DATA!K54,TOPICALAREAS!A$2:B$76,2,TRUE)</f>
        <v>#N/A</v>
      </c>
      <c r="E54" t="e">
        <f>VLOOKUP(DATA!L54,TOPICALAREAS!A$2:B$76,2,TRUE)</f>
        <v>#N/A</v>
      </c>
      <c r="F54" t="e">
        <f>VLOOKUP(DATA!M54,TOPICALAREAS!A$2:B$76,2,TRUE)</f>
        <v>#N/A</v>
      </c>
    </row>
    <row r="55" spans="1:6" x14ac:dyDescent="0.25">
      <c r="A55">
        <f>DATA!G55</f>
        <v>0</v>
      </c>
      <c r="B55" t="e">
        <f>VLOOKUP(DATA!I55,TOPICALAREAS!A$2:B$76,2,TRUE)</f>
        <v>#N/A</v>
      </c>
      <c r="C55" t="e">
        <f>VLOOKUP(DATA!J55,TOPICALAREAS!A$2:B$76,2,TRUE)</f>
        <v>#N/A</v>
      </c>
      <c r="D55" t="e">
        <f>VLOOKUP(DATA!K55,TOPICALAREAS!A$2:B$76,2,TRUE)</f>
        <v>#N/A</v>
      </c>
      <c r="E55" t="e">
        <f>VLOOKUP(DATA!L55,TOPICALAREAS!A$2:B$76,2,TRUE)</f>
        <v>#N/A</v>
      </c>
      <c r="F55" t="e">
        <f>VLOOKUP(DATA!M55,TOPICALAREAS!A55:B129,2,TRUE)</f>
        <v>#N/A</v>
      </c>
    </row>
    <row r="56" spans="1:6" x14ac:dyDescent="0.25">
      <c r="A56">
        <f>DATA!G56</f>
        <v>0</v>
      </c>
      <c r="B56" t="e">
        <f>VLOOKUP(DATA!I56,TOPICALAREAS!A$2:B$76,2,TRUE)</f>
        <v>#N/A</v>
      </c>
      <c r="C56" t="e">
        <f>VLOOKUP(DATA!J56,TOPICALAREAS!A$2:B$76,2,TRUE)</f>
        <v>#N/A</v>
      </c>
      <c r="D56" t="e">
        <f>VLOOKUP(DATA!K56,TOPICALAREAS!A$2:B$76,2,TRUE)</f>
        <v>#N/A</v>
      </c>
      <c r="E56" t="e">
        <f>VLOOKUP(DATA!L56,TOPICALAREAS!A$2:B$76,2,TRUE)</f>
        <v>#N/A</v>
      </c>
      <c r="F56" t="e">
        <f>VLOOKUP(DATA!M56,TOPICALAREAS!A$2:B$76,2,TRUE)</f>
        <v>#N/A</v>
      </c>
    </row>
    <row r="57" spans="1:6" x14ac:dyDescent="0.25">
      <c r="A57">
        <f>DATA!G57</f>
        <v>0</v>
      </c>
      <c r="B57" t="e">
        <f>VLOOKUP(DATA!I57,TOPICALAREAS!A$2:B$76,2,TRUE)</f>
        <v>#N/A</v>
      </c>
      <c r="C57" t="e">
        <f>VLOOKUP(DATA!J57,TOPICALAREAS!A$2:B$76,2,TRUE)</f>
        <v>#N/A</v>
      </c>
      <c r="D57" t="e">
        <f>VLOOKUP(DATA!K57,TOPICALAREAS!A$2:B$76,2,TRUE)</f>
        <v>#N/A</v>
      </c>
      <c r="E57" t="e">
        <f>VLOOKUP(DATA!L57,TOPICALAREAS!A$2:B$76,2,TRUE)</f>
        <v>#N/A</v>
      </c>
      <c r="F57" t="e">
        <f>VLOOKUP(DATA!M57,TOPICALAREAS!A57:B131,2,TRUE)</f>
        <v>#N/A</v>
      </c>
    </row>
    <row r="58" spans="1:6" x14ac:dyDescent="0.25">
      <c r="A58" t="e">
        <f>DATA!#REF!</f>
        <v>#REF!</v>
      </c>
      <c r="B58" t="e">
        <f>VLOOKUP(DATA!#REF!,TOPICALAREAS!A$2:B$76,2,TRUE)</f>
        <v>#REF!</v>
      </c>
      <c r="C58" t="e">
        <f>VLOOKUP(DATA!#REF!,TOPICALAREAS!A$2:B$76,2,TRUE)</f>
        <v>#REF!</v>
      </c>
      <c r="D58" t="e">
        <f>VLOOKUP(DATA!#REF!,TOPICALAREAS!A$2:B$76,2,TRUE)</f>
        <v>#REF!</v>
      </c>
      <c r="E58" t="e">
        <f>VLOOKUP(DATA!#REF!,TOPICALAREAS!A$2:B$76,2,TRUE)</f>
        <v>#REF!</v>
      </c>
      <c r="F58" t="e">
        <f>VLOOKUP(DATA!#REF!,TOPICALAREAS!A$2:B$76,2,TRUE)</f>
        <v>#REF!</v>
      </c>
    </row>
    <row r="59" spans="1:6" x14ac:dyDescent="0.25">
      <c r="A59">
        <f>DATA!G58</f>
        <v>0</v>
      </c>
      <c r="B59" t="e">
        <f>VLOOKUP(DATA!I58,TOPICALAREAS!A$2:B$76,2,TRUE)</f>
        <v>#N/A</v>
      </c>
      <c r="C59" t="e">
        <f>VLOOKUP(DATA!J58,TOPICALAREAS!A$2:B$76,2,TRUE)</f>
        <v>#N/A</v>
      </c>
      <c r="D59" t="e">
        <f>VLOOKUP(DATA!K58,TOPICALAREAS!A$2:B$76,2,TRUE)</f>
        <v>#N/A</v>
      </c>
      <c r="E59" t="e">
        <f>VLOOKUP(DATA!L58,TOPICALAREAS!A$2:B$76,2,TRUE)</f>
        <v>#N/A</v>
      </c>
      <c r="F59" t="e">
        <f>VLOOKUP(DATA!M58,TOPICALAREAS!A59:B133,2,TRUE)</f>
        <v>#N/A</v>
      </c>
    </row>
    <row r="60" spans="1:6" x14ac:dyDescent="0.25">
      <c r="A60">
        <f>DATA!G59</f>
        <v>0</v>
      </c>
      <c r="B60" t="e">
        <f>VLOOKUP(DATA!I59,TOPICALAREAS!A$2:B$76,2,TRUE)</f>
        <v>#N/A</v>
      </c>
      <c r="C60" t="e">
        <f>VLOOKUP(DATA!J59,TOPICALAREAS!A$2:B$76,2,TRUE)</f>
        <v>#N/A</v>
      </c>
      <c r="D60" t="e">
        <f>VLOOKUP(DATA!K59,TOPICALAREAS!A$2:B$76,2,TRUE)</f>
        <v>#N/A</v>
      </c>
      <c r="E60" t="e">
        <f>VLOOKUP(DATA!L59,TOPICALAREAS!A$2:B$76,2,TRUE)</f>
        <v>#N/A</v>
      </c>
      <c r="F60" t="e">
        <f>VLOOKUP(DATA!M59,TOPICALAREAS!A$2:B$76,2,TRUE)</f>
        <v>#N/A</v>
      </c>
    </row>
    <row r="61" spans="1:6" x14ac:dyDescent="0.25">
      <c r="A61">
        <f>DATA!G60</f>
        <v>0</v>
      </c>
      <c r="B61" t="e">
        <f>VLOOKUP(DATA!I60,TOPICALAREAS!A$2:B$76,2,TRUE)</f>
        <v>#N/A</v>
      </c>
      <c r="C61" t="e">
        <f>VLOOKUP(DATA!J60,TOPICALAREAS!A$2:B$76,2,TRUE)</f>
        <v>#N/A</v>
      </c>
      <c r="D61" t="e">
        <f>VLOOKUP(DATA!K60,TOPICALAREAS!A$2:B$76,2,TRUE)</f>
        <v>#N/A</v>
      </c>
      <c r="E61" t="e">
        <f>VLOOKUP(DATA!L60,TOPICALAREAS!A$2:B$76,2,TRUE)</f>
        <v>#N/A</v>
      </c>
      <c r="F61" t="e">
        <f>VLOOKUP(DATA!M60,TOPICALAREAS!A61:B135,2,TRUE)</f>
        <v>#N/A</v>
      </c>
    </row>
    <row r="62" spans="1:6" x14ac:dyDescent="0.25">
      <c r="A62" t="e">
        <f>DATA!#REF!</f>
        <v>#REF!</v>
      </c>
      <c r="B62" t="e">
        <f>VLOOKUP(DATA!#REF!,TOPICALAREAS!A$2:B$76,2,TRUE)</f>
        <v>#REF!</v>
      </c>
      <c r="C62" t="e">
        <f>VLOOKUP(DATA!#REF!,TOPICALAREAS!A$2:B$76,2,TRUE)</f>
        <v>#REF!</v>
      </c>
      <c r="D62" t="e">
        <f>VLOOKUP(DATA!#REF!,TOPICALAREAS!A$2:B$76,2,TRUE)</f>
        <v>#REF!</v>
      </c>
      <c r="E62" t="e">
        <f>VLOOKUP(DATA!#REF!,TOPICALAREAS!A$2:B$76,2,TRUE)</f>
        <v>#REF!</v>
      </c>
      <c r="F62" t="e">
        <f>VLOOKUP(DATA!#REF!,TOPICALAREAS!A$2:B$76,2,TRUE)</f>
        <v>#REF!</v>
      </c>
    </row>
    <row r="63" spans="1:6" x14ac:dyDescent="0.25">
      <c r="A63">
        <f>DATA!G61</f>
        <v>0</v>
      </c>
      <c r="B63" t="e">
        <f>VLOOKUP(DATA!I61,TOPICALAREAS!A$2:B$76,2,TRUE)</f>
        <v>#N/A</v>
      </c>
      <c r="C63" t="e">
        <f>VLOOKUP(DATA!J61,TOPICALAREAS!A$2:B$76,2,TRUE)</f>
        <v>#N/A</v>
      </c>
      <c r="D63" t="e">
        <f>VLOOKUP(DATA!K61,TOPICALAREAS!A$2:B$76,2,TRUE)</f>
        <v>#N/A</v>
      </c>
      <c r="E63" t="e">
        <f>VLOOKUP(DATA!L61,TOPICALAREAS!A$2:B$76,2,TRUE)</f>
        <v>#N/A</v>
      </c>
      <c r="F63" t="e">
        <f>VLOOKUP(DATA!M61,TOPICALAREAS!A63:B137,2,TRUE)</f>
        <v>#N/A</v>
      </c>
    </row>
    <row r="64" spans="1:6" x14ac:dyDescent="0.25">
      <c r="A64">
        <f>DATA!G62</f>
        <v>0</v>
      </c>
      <c r="B64" t="e">
        <f>VLOOKUP(DATA!I62,TOPICALAREAS!A$2:B$76,2,TRUE)</f>
        <v>#N/A</v>
      </c>
      <c r="C64" t="e">
        <f>VLOOKUP(DATA!J62,TOPICALAREAS!A$2:B$76,2,TRUE)</f>
        <v>#N/A</v>
      </c>
      <c r="D64" t="e">
        <f>VLOOKUP(DATA!K62,TOPICALAREAS!A$2:B$76,2,TRUE)</f>
        <v>#N/A</v>
      </c>
      <c r="E64" t="e">
        <f>VLOOKUP(DATA!L62,TOPICALAREAS!A$2:B$76,2,TRUE)</f>
        <v>#N/A</v>
      </c>
      <c r="F64" t="e">
        <f>VLOOKUP(DATA!M62,TOPICALAREAS!A$2:B$76,2,TRUE)</f>
        <v>#N/A</v>
      </c>
    </row>
    <row r="65" spans="1:6" x14ac:dyDescent="0.25">
      <c r="A65">
        <f>DATA!G63</f>
        <v>0</v>
      </c>
      <c r="B65" t="e">
        <f>VLOOKUP(DATA!I63,TOPICALAREAS!A$2:B$76,2,TRUE)</f>
        <v>#N/A</v>
      </c>
      <c r="C65" t="e">
        <f>VLOOKUP(DATA!J63,TOPICALAREAS!A$2:B$76,2,TRUE)</f>
        <v>#N/A</v>
      </c>
      <c r="D65" t="e">
        <f>VLOOKUP(DATA!K63,TOPICALAREAS!A$2:B$76,2,TRUE)</f>
        <v>#N/A</v>
      </c>
      <c r="E65" t="e">
        <f>VLOOKUP(DATA!L63,TOPICALAREAS!A$2:B$76,2,TRUE)</f>
        <v>#N/A</v>
      </c>
      <c r="F65" t="e">
        <f>VLOOKUP(DATA!M63,TOPICALAREAS!A65:B139,2,TRUE)</f>
        <v>#N/A</v>
      </c>
    </row>
    <row r="66" spans="1:6" x14ac:dyDescent="0.25">
      <c r="A66">
        <f>DATA!G64</f>
        <v>0</v>
      </c>
      <c r="B66" t="e">
        <f>VLOOKUP(DATA!I64,TOPICALAREAS!A$2:B$76,2,TRUE)</f>
        <v>#N/A</v>
      </c>
      <c r="C66" t="e">
        <f>VLOOKUP(DATA!J64,TOPICALAREAS!A$2:B$76,2,TRUE)</f>
        <v>#N/A</v>
      </c>
      <c r="D66" t="e">
        <f>VLOOKUP(DATA!K64,TOPICALAREAS!A$2:B$76,2,TRUE)</f>
        <v>#N/A</v>
      </c>
      <c r="E66" t="e">
        <f>VLOOKUP(DATA!L64,TOPICALAREAS!A$2:B$76,2,TRUE)</f>
        <v>#N/A</v>
      </c>
      <c r="F66" t="e">
        <f>VLOOKUP(DATA!M64,TOPICALAREAS!A$2:B$76,2,TRUE)</f>
        <v>#N/A</v>
      </c>
    </row>
    <row r="67" spans="1:6" x14ac:dyDescent="0.25">
      <c r="A67">
        <f>DATA!G65</f>
        <v>0</v>
      </c>
      <c r="B67" t="e">
        <f>VLOOKUP(DATA!I65,TOPICALAREAS!A$2:B$76,2,TRUE)</f>
        <v>#N/A</v>
      </c>
      <c r="C67" t="e">
        <f>VLOOKUP(DATA!J65,TOPICALAREAS!A$2:B$76,2,TRUE)</f>
        <v>#N/A</v>
      </c>
      <c r="D67" t="e">
        <f>VLOOKUP(DATA!K65,TOPICALAREAS!A$2:B$76,2,TRUE)</f>
        <v>#N/A</v>
      </c>
      <c r="E67" t="e">
        <f>VLOOKUP(DATA!L65,TOPICALAREAS!A$2:B$76,2,TRUE)</f>
        <v>#N/A</v>
      </c>
      <c r="F67" t="e">
        <f>VLOOKUP(DATA!M65,TOPICALAREAS!A67:B141,2,TRUE)</f>
        <v>#N/A</v>
      </c>
    </row>
    <row r="68" spans="1:6" x14ac:dyDescent="0.25">
      <c r="A68">
        <f>DATA!G66</f>
        <v>0</v>
      </c>
      <c r="B68" t="e">
        <f>VLOOKUP(DATA!I66,TOPICALAREAS!A$2:B$76,2,TRUE)</f>
        <v>#N/A</v>
      </c>
      <c r="C68" t="e">
        <f>VLOOKUP(DATA!J66,TOPICALAREAS!A$2:B$76,2,TRUE)</f>
        <v>#N/A</v>
      </c>
      <c r="D68" t="e">
        <f>VLOOKUP(DATA!K66,TOPICALAREAS!A$2:B$76,2,TRUE)</f>
        <v>#N/A</v>
      </c>
      <c r="E68" t="e">
        <f>VLOOKUP(DATA!L66,TOPICALAREAS!A$2:B$76,2,TRUE)</f>
        <v>#N/A</v>
      </c>
      <c r="F68" t="e">
        <f>VLOOKUP(DATA!M66,TOPICALAREAS!A$2:B$76,2,TRUE)</f>
        <v>#N/A</v>
      </c>
    </row>
    <row r="69" spans="1:6" x14ac:dyDescent="0.25">
      <c r="A69">
        <f>DATA!G67</f>
        <v>0</v>
      </c>
      <c r="B69" t="e">
        <f>VLOOKUP(DATA!I67,TOPICALAREAS!A$2:B$76,2,TRUE)</f>
        <v>#N/A</v>
      </c>
      <c r="C69" t="e">
        <f>VLOOKUP(DATA!J67,TOPICALAREAS!A$2:B$76,2,TRUE)</f>
        <v>#N/A</v>
      </c>
      <c r="D69" t="e">
        <f>VLOOKUP(DATA!K67,TOPICALAREAS!A$2:B$76,2,TRUE)</f>
        <v>#N/A</v>
      </c>
      <c r="E69" t="e">
        <f>VLOOKUP(DATA!L67,TOPICALAREAS!A$2:B$76,2,TRUE)</f>
        <v>#N/A</v>
      </c>
      <c r="F69" t="e">
        <f>VLOOKUP(DATA!M67,TOPICALAREAS!A69:B143,2,TRUE)</f>
        <v>#N/A</v>
      </c>
    </row>
    <row r="70" spans="1:6" x14ac:dyDescent="0.25">
      <c r="A70">
        <f>DATA!G68</f>
        <v>0</v>
      </c>
      <c r="B70" t="e">
        <f>VLOOKUP(DATA!I68,TOPICALAREAS!A$2:B$76,2,TRUE)</f>
        <v>#N/A</v>
      </c>
      <c r="C70" t="e">
        <f>VLOOKUP(DATA!J68,TOPICALAREAS!A$2:B$76,2,TRUE)</f>
        <v>#N/A</v>
      </c>
      <c r="D70" t="e">
        <f>VLOOKUP(DATA!K68,TOPICALAREAS!A$2:B$76,2,TRUE)</f>
        <v>#N/A</v>
      </c>
      <c r="E70" t="e">
        <f>VLOOKUP(DATA!L68,TOPICALAREAS!A$2:B$76,2,TRUE)</f>
        <v>#N/A</v>
      </c>
      <c r="F70" t="e">
        <f>VLOOKUP(DATA!M68,TOPICALAREAS!A$2:B$76,2,TRUE)</f>
        <v>#N/A</v>
      </c>
    </row>
    <row r="71" spans="1:6" x14ac:dyDescent="0.25">
      <c r="A71">
        <f>DATA!G69</f>
        <v>0</v>
      </c>
      <c r="B71" t="e">
        <f>VLOOKUP(DATA!I69,TOPICALAREAS!A$2:B$76,2,TRUE)</f>
        <v>#N/A</v>
      </c>
      <c r="C71" t="e">
        <f>VLOOKUP(DATA!J69,TOPICALAREAS!A$2:B$76,2,TRUE)</f>
        <v>#N/A</v>
      </c>
      <c r="D71" t="e">
        <f>VLOOKUP(DATA!K69,TOPICALAREAS!A$2:B$76,2,TRUE)</f>
        <v>#N/A</v>
      </c>
      <c r="E71" t="e">
        <f>VLOOKUP(DATA!L69,TOPICALAREAS!A$2:B$76,2,TRUE)</f>
        <v>#N/A</v>
      </c>
      <c r="F71" t="e">
        <f>VLOOKUP(DATA!M69,TOPICALAREAS!A71:B145,2,TRUE)</f>
        <v>#N/A</v>
      </c>
    </row>
    <row r="72" spans="1:6" x14ac:dyDescent="0.25">
      <c r="A72">
        <f>DATA!G70</f>
        <v>0</v>
      </c>
      <c r="B72" t="e">
        <f>VLOOKUP(DATA!I70,TOPICALAREAS!A$2:B$76,2,TRUE)</f>
        <v>#N/A</v>
      </c>
      <c r="C72" t="e">
        <f>VLOOKUP(DATA!J70,TOPICALAREAS!A$2:B$76,2,TRUE)</f>
        <v>#N/A</v>
      </c>
      <c r="D72" t="e">
        <f>VLOOKUP(DATA!K70,TOPICALAREAS!A$2:B$76,2,TRUE)</f>
        <v>#N/A</v>
      </c>
      <c r="E72" t="e">
        <f>VLOOKUP(DATA!L70,TOPICALAREAS!A$2:B$76,2,TRUE)</f>
        <v>#N/A</v>
      </c>
      <c r="F72" t="e">
        <f>VLOOKUP(DATA!M70,TOPICALAREAS!A$2:B$76,2,TRUE)</f>
        <v>#N/A</v>
      </c>
    </row>
    <row r="73" spans="1:6" x14ac:dyDescent="0.25">
      <c r="A73" t="e">
        <f>DATA!#REF!</f>
        <v>#REF!</v>
      </c>
      <c r="B73" t="e">
        <f>VLOOKUP(DATA!#REF!,TOPICALAREAS!A$2:B$76,2,TRUE)</f>
        <v>#REF!</v>
      </c>
      <c r="C73" t="e">
        <f>VLOOKUP(DATA!#REF!,TOPICALAREAS!A$2:B$76,2,TRUE)</f>
        <v>#REF!</v>
      </c>
      <c r="D73" t="e">
        <f>VLOOKUP(DATA!#REF!,TOPICALAREAS!A$2:B$76,2,TRUE)</f>
        <v>#REF!</v>
      </c>
      <c r="E73" t="e">
        <f>VLOOKUP(DATA!#REF!,TOPICALAREAS!A$2:B$76,2,TRUE)</f>
        <v>#REF!</v>
      </c>
      <c r="F73" t="e">
        <f>VLOOKUP(DATA!#REF!,TOPICALAREAS!A73:B147,2,TRUE)</f>
        <v>#REF!</v>
      </c>
    </row>
    <row r="74" spans="1:6" x14ac:dyDescent="0.25">
      <c r="A74">
        <f>DATA!G71</f>
        <v>0</v>
      </c>
      <c r="B74" t="e">
        <f>VLOOKUP(DATA!I71,TOPICALAREAS!A$2:B$76,2,TRUE)</f>
        <v>#N/A</v>
      </c>
      <c r="C74" t="e">
        <f>VLOOKUP(DATA!J71,TOPICALAREAS!A$2:B$76,2,TRUE)</f>
        <v>#N/A</v>
      </c>
      <c r="D74" t="e">
        <f>VLOOKUP(DATA!K71,TOPICALAREAS!A$2:B$76,2,TRUE)</f>
        <v>#N/A</v>
      </c>
      <c r="E74" t="e">
        <f>VLOOKUP(DATA!L71,TOPICALAREAS!A$2:B$76,2,TRUE)</f>
        <v>#N/A</v>
      </c>
      <c r="F74" t="e">
        <f>VLOOKUP(DATA!M71,TOPICALAREAS!A$2:B$76,2,TRUE)</f>
        <v>#N/A</v>
      </c>
    </row>
    <row r="75" spans="1:6" x14ac:dyDescent="0.25">
      <c r="A75" t="e">
        <f>DATA!#REF!</f>
        <v>#REF!</v>
      </c>
      <c r="B75" t="e">
        <f>VLOOKUP(DATA!#REF!,TOPICALAREAS!A$2:B$76,2,TRUE)</f>
        <v>#REF!</v>
      </c>
      <c r="C75" t="e">
        <f>VLOOKUP(DATA!#REF!,TOPICALAREAS!A$2:B$76,2,TRUE)</f>
        <v>#REF!</v>
      </c>
      <c r="D75" t="e">
        <f>VLOOKUP(DATA!#REF!,TOPICALAREAS!A$2:B$76,2,TRUE)</f>
        <v>#REF!</v>
      </c>
      <c r="E75" t="e">
        <f>VLOOKUP(DATA!#REF!,TOPICALAREAS!A$2:B$76,2,TRUE)</f>
        <v>#REF!</v>
      </c>
      <c r="F75" t="e">
        <f>VLOOKUP(DATA!#REF!,TOPICALAREAS!A75:B149,2,TRUE)</f>
        <v>#REF!</v>
      </c>
    </row>
    <row r="76" spans="1:6" x14ac:dyDescent="0.25">
      <c r="A76">
        <f>DATA!G72</f>
        <v>0</v>
      </c>
      <c r="B76" t="e">
        <f>VLOOKUP(DATA!I72,TOPICALAREAS!A$2:B$76,2,TRUE)</f>
        <v>#N/A</v>
      </c>
      <c r="C76" t="e">
        <f>VLOOKUP(DATA!J72,TOPICALAREAS!A$2:B$76,2,TRUE)</f>
        <v>#N/A</v>
      </c>
      <c r="D76" t="e">
        <f>VLOOKUP(DATA!K72,TOPICALAREAS!A$2:B$76,2,TRUE)</f>
        <v>#N/A</v>
      </c>
      <c r="E76" t="e">
        <f>VLOOKUP(DATA!L72,TOPICALAREAS!A$2:B$76,2,TRUE)</f>
        <v>#N/A</v>
      </c>
      <c r="F76" t="e">
        <f>VLOOKUP(DATA!M72,TOPICALAREAS!A$2:B$76,2,TRUE)</f>
        <v>#N/A</v>
      </c>
    </row>
    <row r="77" spans="1:6" x14ac:dyDescent="0.25">
      <c r="A77">
        <f>DATA!G73</f>
        <v>0</v>
      </c>
      <c r="B77" t="e">
        <f>VLOOKUP(DATA!I73,TOPICALAREAS!A$2:B$76,2,TRUE)</f>
        <v>#N/A</v>
      </c>
      <c r="C77" t="e">
        <f>VLOOKUP(DATA!J73,TOPICALAREAS!A$2:B$76,2,TRUE)</f>
        <v>#N/A</v>
      </c>
      <c r="D77" t="e">
        <f>VLOOKUP(DATA!K73,TOPICALAREAS!A$2:B$76,2,TRUE)</f>
        <v>#N/A</v>
      </c>
      <c r="E77" t="e">
        <f>VLOOKUP(DATA!L73,TOPICALAREAS!A$2:B$76,2,TRUE)</f>
        <v>#N/A</v>
      </c>
      <c r="F77" t="e">
        <f>VLOOKUP(DATA!M73,TOPICALAREAS!A77:B151,2,TRUE)</f>
        <v>#N/A</v>
      </c>
    </row>
    <row r="78" spans="1:6" x14ac:dyDescent="0.25">
      <c r="A78" t="e">
        <f>DATA!#REF!</f>
        <v>#REF!</v>
      </c>
      <c r="B78" t="e">
        <f>VLOOKUP(DATA!#REF!,TOPICALAREAS!A$2:B$76,2,TRUE)</f>
        <v>#REF!</v>
      </c>
      <c r="C78" t="e">
        <f>VLOOKUP(DATA!#REF!,TOPICALAREAS!A$2:B$76,2,TRUE)</f>
        <v>#REF!</v>
      </c>
      <c r="D78" t="e">
        <f>VLOOKUP(DATA!#REF!,TOPICALAREAS!A$2:B$76,2,TRUE)</f>
        <v>#REF!</v>
      </c>
      <c r="E78" t="e">
        <f>VLOOKUP(DATA!#REF!,TOPICALAREAS!A$2:B$76,2,TRUE)</f>
        <v>#REF!</v>
      </c>
      <c r="F78" t="e">
        <f>VLOOKUP(DATA!#REF!,TOPICALAREAS!A$2:B$76,2,TRUE)</f>
        <v>#REF!</v>
      </c>
    </row>
    <row r="79" spans="1:6" x14ac:dyDescent="0.25">
      <c r="A79">
        <f>DATA!G74</f>
        <v>0</v>
      </c>
      <c r="B79" t="e">
        <f>VLOOKUP(DATA!I74,TOPICALAREAS!A$2:B$76,2,TRUE)</f>
        <v>#N/A</v>
      </c>
      <c r="C79" t="e">
        <f>VLOOKUP(DATA!J74,TOPICALAREAS!A$2:B$76,2,TRUE)</f>
        <v>#N/A</v>
      </c>
      <c r="D79" t="e">
        <f>VLOOKUP(DATA!K74,TOPICALAREAS!A$2:B$76,2,TRUE)</f>
        <v>#N/A</v>
      </c>
      <c r="E79" t="e">
        <f>VLOOKUP(DATA!L74,TOPICALAREAS!A$2:B$76,2,TRUE)</f>
        <v>#N/A</v>
      </c>
      <c r="F79" t="e">
        <f>VLOOKUP(DATA!M74,TOPICALAREAS!A79:B153,2,TRUE)</f>
        <v>#N/A</v>
      </c>
    </row>
    <row r="80" spans="1:6" x14ac:dyDescent="0.25">
      <c r="A80">
        <f>DATA!G75</f>
        <v>0</v>
      </c>
      <c r="B80" t="e">
        <f>VLOOKUP(DATA!I75,TOPICALAREAS!A$2:B$76,2,TRUE)</f>
        <v>#N/A</v>
      </c>
      <c r="C80" t="e">
        <f>VLOOKUP(DATA!J75,TOPICALAREAS!A$2:B$76,2,TRUE)</f>
        <v>#N/A</v>
      </c>
      <c r="D80" t="e">
        <f>VLOOKUP(DATA!K75,TOPICALAREAS!A$2:B$76,2,TRUE)</f>
        <v>#N/A</v>
      </c>
      <c r="E80" t="e">
        <f>VLOOKUP(DATA!L75,TOPICALAREAS!A$2:B$76,2,TRUE)</f>
        <v>#N/A</v>
      </c>
      <c r="F80" t="e">
        <f>VLOOKUP(DATA!M75,TOPICALAREAS!A$2:B$76,2,TRUE)</f>
        <v>#N/A</v>
      </c>
    </row>
    <row r="81" spans="1:6" x14ac:dyDescent="0.25">
      <c r="A81">
        <f>DATA!G76</f>
        <v>0</v>
      </c>
      <c r="B81" t="e">
        <f>VLOOKUP(DATA!I76,TOPICALAREAS!A$2:B$76,2,TRUE)</f>
        <v>#N/A</v>
      </c>
      <c r="C81" t="e">
        <f>VLOOKUP(DATA!J76,TOPICALAREAS!A$2:B$76,2,TRUE)</f>
        <v>#N/A</v>
      </c>
      <c r="D81" t="e">
        <f>VLOOKUP(DATA!K76,TOPICALAREAS!A$2:B$76,2,TRUE)</f>
        <v>#N/A</v>
      </c>
      <c r="E81" t="e">
        <f>VLOOKUP(DATA!L76,TOPICALAREAS!A$2:B$76,2,TRUE)</f>
        <v>#N/A</v>
      </c>
      <c r="F81" t="e">
        <f>VLOOKUP(DATA!M76,TOPICALAREAS!A81:B155,2,TRUE)</f>
        <v>#N/A</v>
      </c>
    </row>
    <row r="82" spans="1:6" x14ac:dyDescent="0.25">
      <c r="A82">
        <f>DATA!G77</f>
        <v>0</v>
      </c>
      <c r="B82" t="e">
        <f>VLOOKUP(DATA!I77,TOPICALAREAS!A$2:B$76,2,TRUE)</f>
        <v>#N/A</v>
      </c>
      <c r="C82" t="e">
        <f>VLOOKUP(DATA!J77,TOPICALAREAS!A$2:B$76,2,TRUE)</f>
        <v>#N/A</v>
      </c>
      <c r="D82" t="e">
        <f>VLOOKUP(DATA!K77,TOPICALAREAS!A$2:B$76,2,TRUE)</f>
        <v>#N/A</v>
      </c>
      <c r="E82" t="e">
        <f>VLOOKUP(DATA!L77,TOPICALAREAS!A$2:B$76,2,TRUE)</f>
        <v>#N/A</v>
      </c>
      <c r="F82" t="e">
        <f>VLOOKUP(DATA!M77,TOPICALAREAS!A$2:B$76,2,TRUE)</f>
        <v>#N/A</v>
      </c>
    </row>
    <row r="83" spans="1:6" x14ac:dyDescent="0.25">
      <c r="A83">
        <f>DATA!G78</f>
        <v>0</v>
      </c>
      <c r="B83" t="e">
        <f>VLOOKUP(DATA!I78,TOPICALAREAS!A$2:B$76,2,TRUE)</f>
        <v>#N/A</v>
      </c>
      <c r="C83" t="e">
        <f>VLOOKUP(DATA!J78,TOPICALAREAS!A$2:B$76,2,TRUE)</f>
        <v>#N/A</v>
      </c>
      <c r="D83" t="e">
        <f>VLOOKUP(DATA!K78,TOPICALAREAS!A$2:B$76,2,TRUE)</f>
        <v>#N/A</v>
      </c>
      <c r="E83" t="e">
        <f>VLOOKUP(DATA!L78,TOPICALAREAS!A$2:B$76,2,TRUE)</f>
        <v>#N/A</v>
      </c>
      <c r="F83" t="e">
        <f>VLOOKUP(DATA!M78,TOPICALAREAS!A83:B157,2,TRUE)</f>
        <v>#N/A</v>
      </c>
    </row>
    <row r="84" spans="1:6" x14ac:dyDescent="0.25">
      <c r="A84">
        <f>DATA!G79</f>
        <v>0</v>
      </c>
      <c r="B84" t="e">
        <f>VLOOKUP(DATA!I79,TOPICALAREAS!A$2:B$76,2,TRUE)</f>
        <v>#N/A</v>
      </c>
      <c r="C84" t="e">
        <f>VLOOKUP(DATA!J79,TOPICALAREAS!A$2:B$76,2,TRUE)</f>
        <v>#N/A</v>
      </c>
      <c r="D84" t="e">
        <f>VLOOKUP(DATA!K79,TOPICALAREAS!A$2:B$76,2,TRUE)</f>
        <v>#N/A</v>
      </c>
      <c r="E84" t="e">
        <f>VLOOKUP(DATA!L79,TOPICALAREAS!A$2:B$76,2,TRUE)</f>
        <v>#N/A</v>
      </c>
      <c r="F84" t="e">
        <f>VLOOKUP(DATA!M79,TOPICALAREAS!A$2:B$76,2,TRUE)</f>
        <v>#N/A</v>
      </c>
    </row>
    <row r="85" spans="1:6" x14ac:dyDescent="0.25">
      <c r="A85">
        <f>DATA!G80</f>
        <v>0</v>
      </c>
      <c r="B85" t="e">
        <f>VLOOKUP(DATA!I80,TOPICALAREAS!A$2:B$76,2,TRUE)</f>
        <v>#N/A</v>
      </c>
      <c r="C85" t="e">
        <f>VLOOKUP(DATA!J80,TOPICALAREAS!A$2:B$76,2,TRUE)</f>
        <v>#N/A</v>
      </c>
      <c r="D85" t="e">
        <f>VLOOKUP(DATA!K80,TOPICALAREAS!A$2:B$76,2,TRUE)</f>
        <v>#N/A</v>
      </c>
      <c r="E85" t="e">
        <f>VLOOKUP(DATA!L80,TOPICALAREAS!A$2:B$76,2,TRUE)</f>
        <v>#N/A</v>
      </c>
      <c r="F85" t="e">
        <f>VLOOKUP(DATA!M80,TOPICALAREAS!A85:B159,2,TRUE)</f>
        <v>#N/A</v>
      </c>
    </row>
    <row r="86" spans="1:6" x14ac:dyDescent="0.25">
      <c r="A86">
        <f>DATA!G81</f>
        <v>0</v>
      </c>
      <c r="B86" t="e">
        <f>VLOOKUP(DATA!I81,TOPICALAREAS!A$2:B$76,2,TRUE)</f>
        <v>#N/A</v>
      </c>
      <c r="C86" t="e">
        <f>VLOOKUP(DATA!J81,TOPICALAREAS!A$2:B$76,2,TRUE)</f>
        <v>#N/A</v>
      </c>
      <c r="D86" t="e">
        <f>VLOOKUP(DATA!K81,TOPICALAREAS!A$2:B$76,2,TRUE)</f>
        <v>#N/A</v>
      </c>
      <c r="E86" t="e">
        <f>VLOOKUP(DATA!L81,TOPICALAREAS!A$2:B$76,2,TRUE)</f>
        <v>#N/A</v>
      </c>
      <c r="F86" t="e">
        <f>VLOOKUP(DATA!M81,TOPICALAREAS!A$2:B$76,2,TRUE)</f>
        <v>#N/A</v>
      </c>
    </row>
    <row r="87" spans="1:6" x14ac:dyDescent="0.25">
      <c r="A87">
        <f>DATA!G82</f>
        <v>0</v>
      </c>
      <c r="B87" t="e">
        <f>VLOOKUP(DATA!I82,TOPICALAREAS!A$2:B$76,2,TRUE)</f>
        <v>#N/A</v>
      </c>
      <c r="C87" t="e">
        <f>VLOOKUP(DATA!J82,TOPICALAREAS!A$2:B$76,2,TRUE)</f>
        <v>#N/A</v>
      </c>
      <c r="D87" t="e">
        <f>VLOOKUP(DATA!K82,TOPICALAREAS!A$2:B$76,2,TRUE)</f>
        <v>#N/A</v>
      </c>
      <c r="E87" t="e">
        <f>VLOOKUP(DATA!L82,TOPICALAREAS!A$2:B$76,2,TRUE)</f>
        <v>#N/A</v>
      </c>
      <c r="F87" t="e">
        <f>VLOOKUP(DATA!M82,TOPICALAREAS!A87:B161,2,TRUE)</f>
        <v>#N/A</v>
      </c>
    </row>
    <row r="88" spans="1:6" x14ac:dyDescent="0.25">
      <c r="A88">
        <f>DATA!G83</f>
        <v>0</v>
      </c>
      <c r="B88" t="e">
        <f>VLOOKUP(DATA!I83,TOPICALAREAS!A$2:B$76,2,TRUE)</f>
        <v>#N/A</v>
      </c>
      <c r="C88" t="e">
        <f>VLOOKUP(DATA!J83,TOPICALAREAS!A$2:B$76,2,TRUE)</f>
        <v>#N/A</v>
      </c>
      <c r="D88" t="e">
        <f>VLOOKUP(DATA!K83,TOPICALAREAS!A$2:B$76,2,TRUE)</f>
        <v>#N/A</v>
      </c>
      <c r="E88" t="e">
        <f>VLOOKUP(DATA!L83,TOPICALAREAS!A$2:B$76,2,TRUE)</f>
        <v>#N/A</v>
      </c>
      <c r="F88" t="e">
        <f>VLOOKUP(DATA!M83,TOPICALAREAS!A$2:B$76,2,TRUE)</f>
        <v>#N/A</v>
      </c>
    </row>
    <row r="89" spans="1:6" x14ac:dyDescent="0.25">
      <c r="A89">
        <f>DATA!G84</f>
        <v>0</v>
      </c>
      <c r="B89" t="e">
        <f>VLOOKUP(DATA!I84,TOPICALAREAS!A$2:B$76,2,TRUE)</f>
        <v>#N/A</v>
      </c>
      <c r="C89" t="e">
        <f>VLOOKUP(DATA!J84,TOPICALAREAS!A$2:B$76,2,TRUE)</f>
        <v>#N/A</v>
      </c>
      <c r="D89" t="e">
        <f>VLOOKUP(DATA!K84,TOPICALAREAS!A$2:B$76,2,TRUE)</f>
        <v>#N/A</v>
      </c>
      <c r="E89" t="e">
        <f>VLOOKUP(DATA!L84,TOPICALAREAS!A$2:B$76,2,TRUE)</f>
        <v>#N/A</v>
      </c>
      <c r="F89" t="e">
        <f>VLOOKUP(DATA!M84,TOPICALAREAS!A89:B163,2,TRUE)</f>
        <v>#N/A</v>
      </c>
    </row>
    <row r="90" spans="1:6" x14ac:dyDescent="0.25">
      <c r="A90">
        <f>DATA!G85</f>
        <v>0</v>
      </c>
      <c r="B90" t="e">
        <f>VLOOKUP(DATA!I85,TOPICALAREAS!A$2:B$76,2,TRUE)</f>
        <v>#N/A</v>
      </c>
      <c r="C90" t="e">
        <f>VLOOKUP(DATA!J85,TOPICALAREAS!A$2:B$76,2,TRUE)</f>
        <v>#N/A</v>
      </c>
      <c r="D90" t="e">
        <f>VLOOKUP(DATA!K85,TOPICALAREAS!A$2:B$76,2,TRUE)</f>
        <v>#N/A</v>
      </c>
      <c r="E90" t="e">
        <f>VLOOKUP(DATA!L85,TOPICALAREAS!A$2:B$76,2,TRUE)</f>
        <v>#N/A</v>
      </c>
      <c r="F90" t="e">
        <f>VLOOKUP(DATA!M85,TOPICALAREAS!A$2:B$76,2,TRUE)</f>
        <v>#N/A</v>
      </c>
    </row>
    <row r="91" spans="1:6" x14ac:dyDescent="0.25">
      <c r="A91">
        <f>DATA!G86</f>
        <v>0</v>
      </c>
      <c r="B91" t="e">
        <f>VLOOKUP(DATA!I86,TOPICALAREAS!A$2:B$76,2,TRUE)</f>
        <v>#N/A</v>
      </c>
      <c r="C91" t="e">
        <f>VLOOKUP(DATA!J86,TOPICALAREAS!A$2:B$76,2,TRUE)</f>
        <v>#N/A</v>
      </c>
      <c r="D91" t="e">
        <f>VLOOKUP(DATA!K86,TOPICALAREAS!A$2:B$76,2,TRUE)</f>
        <v>#N/A</v>
      </c>
      <c r="E91" t="e">
        <f>VLOOKUP(DATA!L86,TOPICALAREAS!A$2:B$76,2,TRUE)</f>
        <v>#N/A</v>
      </c>
      <c r="F91" t="e">
        <f>VLOOKUP(DATA!M86,TOPICALAREAS!A91:B165,2,TRUE)</f>
        <v>#N/A</v>
      </c>
    </row>
    <row r="92" spans="1:6" x14ac:dyDescent="0.25">
      <c r="A92">
        <f>DATA!G87</f>
        <v>0</v>
      </c>
      <c r="B92" t="e">
        <f>VLOOKUP(DATA!I87,TOPICALAREAS!A$2:B$76,2,TRUE)</f>
        <v>#N/A</v>
      </c>
      <c r="C92" t="e">
        <f>VLOOKUP(DATA!J87,TOPICALAREAS!A$2:B$76,2,TRUE)</f>
        <v>#N/A</v>
      </c>
      <c r="D92" t="e">
        <f>VLOOKUP(DATA!K87,TOPICALAREAS!A$2:B$76,2,TRUE)</f>
        <v>#N/A</v>
      </c>
      <c r="E92" t="e">
        <f>VLOOKUP(DATA!L87,TOPICALAREAS!A$2:B$76,2,TRUE)</f>
        <v>#N/A</v>
      </c>
      <c r="F92" t="e">
        <f>VLOOKUP(DATA!M87,TOPICALAREAS!A$2:B$76,2,TRUE)</f>
        <v>#N/A</v>
      </c>
    </row>
    <row r="93" spans="1:6" x14ac:dyDescent="0.25">
      <c r="A93">
        <f>DATA!G88</f>
        <v>0</v>
      </c>
      <c r="B93" t="e">
        <f>VLOOKUP(DATA!I88,TOPICALAREAS!A$2:B$76,2,TRUE)</f>
        <v>#N/A</v>
      </c>
      <c r="C93" t="e">
        <f>VLOOKUP(DATA!J88,TOPICALAREAS!A$2:B$76,2,TRUE)</f>
        <v>#N/A</v>
      </c>
      <c r="D93" t="e">
        <f>VLOOKUP(DATA!K88,TOPICALAREAS!A$2:B$76,2,TRUE)</f>
        <v>#N/A</v>
      </c>
      <c r="E93" t="e">
        <f>VLOOKUP(DATA!L88,TOPICALAREAS!A$2:B$76,2,TRUE)</f>
        <v>#N/A</v>
      </c>
      <c r="F93" t="e">
        <f>VLOOKUP(DATA!M88,TOPICALAREAS!A93:B167,2,TRUE)</f>
        <v>#N/A</v>
      </c>
    </row>
    <row r="94" spans="1:6" x14ac:dyDescent="0.25">
      <c r="A94">
        <f>DATA!G89</f>
        <v>0</v>
      </c>
      <c r="B94" t="e">
        <f>VLOOKUP(DATA!I89,TOPICALAREAS!A$2:B$76,2,TRUE)</f>
        <v>#N/A</v>
      </c>
      <c r="C94" t="e">
        <f>VLOOKUP(DATA!J89,TOPICALAREAS!A$2:B$76,2,TRUE)</f>
        <v>#N/A</v>
      </c>
      <c r="D94" t="e">
        <f>VLOOKUP(DATA!K89,TOPICALAREAS!A$2:B$76,2,TRUE)</f>
        <v>#N/A</v>
      </c>
      <c r="E94" t="e">
        <f>VLOOKUP(DATA!L89,TOPICALAREAS!A$2:B$76,2,TRUE)</f>
        <v>#N/A</v>
      </c>
      <c r="F94" t="e">
        <f>VLOOKUP(DATA!M89,TOPICALAREAS!A$2:B$76,2,TRUE)</f>
        <v>#N/A</v>
      </c>
    </row>
    <row r="95" spans="1:6" x14ac:dyDescent="0.25">
      <c r="A95">
        <f>DATA!G90</f>
        <v>0</v>
      </c>
      <c r="B95" t="e">
        <f>VLOOKUP(DATA!I90,TOPICALAREAS!A$2:B$76,2,TRUE)</f>
        <v>#N/A</v>
      </c>
      <c r="C95" t="e">
        <f>VLOOKUP(DATA!J90,TOPICALAREAS!A$2:B$76,2,TRUE)</f>
        <v>#N/A</v>
      </c>
      <c r="D95" t="e">
        <f>VLOOKUP(DATA!K90,TOPICALAREAS!A$2:B$76,2,TRUE)</f>
        <v>#N/A</v>
      </c>
      <c r="E95" t="e">
        <f>VLOOKUP(DATA!L90,TOPICALAREAS!A$2:B$76,2,TRUE)</f>
        <v>#N/A</v>
      </c>
      <c r="F95" t="e">
        <f>VLOOKUP(DATA!M90,TOPICALAREAS!A95:B169,2,TRUE)</f>
        <v>#N/A</v>
      </c>
    </row>
    <row r="96" spans="1:6" x14ac:dyDescent="0.25">
      <c r="A96" t="e">
        <f>DATA!#REF!</f>
        <v>#REF!</v>
      </c>
      <c r="B96" t="e">
        <f>VLOOKUP(DATA!#REF!,TOPICALAREAS!A$2:B$76,2,TRUE)</f>
        <v>#REF!</v>
      </c>
      <c r="C96" t="e">
        <f>VLOOKUP(DATA!#REF!,TOPICALAREAS!A$2:B$76,2,TRUE)</f>
        <v>#REF!</v>
      </c>
      <c r="D96" t="e">
        <f>VLOOKUP(DATA!#REF!,TOPICALAREAS!A$2:B$76,2,TRUE)</f>
        <v>#REF!</v>
      </c>
      <c r="E96" t="e">
        <f>VLOOKUP(DATA!#REF!,TOPICALAREAS!A$2:B$76,2,TRUE)</f>
        <v>#REF!</v>
      </c>
      <c r="F96" t="e">
        <f>VLOOKUP(DATA!#REF!,TOPICALAREAS!A$2:B$76,2,TRUE)</f>
        <v>#REF!</v>
      </c>
    </row>
    <row r="97" spans="1:6" x14ac:dyDescent="0.25">
      <c r="A97" t="e">
        <f>DATA!#REF!</f>
        <v>#REF!</v>
      </c>
      <c r="B97" t="e">
        <f>VLOOKUP(DATA!#REF!,TOPICALAREAS!A$2:B$76,2,TRUE)</f>
        <v>#REF!</v>
      </c>
      <c r="C97" t="e">
        <f>VLOOKUP(DATA!#REF!,TOPICALAREAS!A$2:B$76,2,TRUE)</f>
        <v>#REF!</v>
      </c>
      <c r="D97" t="e">
        <f>VLOOKUP(DATA!#REF!,TOPICALAREAS!A$2:B$76,2,TRUE)</f>
        <v>#REF!</v>
      </c>
      <c r="E97" t="e">
        <f>VLOOKUP(DATA!#REF!,TOPICALAREAS!A$2:B$76,2,TRUE)</f>
        <v>#REF!</v>
      </c>
      <c r="F97" t="e">
        <f>VLOOKUP(DATA!#REF!,TOPICALAREAS!A97:B171,2,TRUE)</f>
        <v>#REF!</v>
      </c>
    </row>
    <row r="98" spans="1:6" x14ac:dyDescent="0.25">
      <c r="A98">
        <f>DATA!G91</f>
        <v>0</v>
      </c>
      <c r="B98" t="e">
        <f>VLOOKUP(DATA!I91,TOPICALAREAS!A$2:B$76,2,TRUE)</f>
        <v>#N/A</v>
      </c>
      <c r="C98" t="e">
        <f>VLOOKUP(DATA!J91,TOPICALAREAS!A$2:B$76,2,TRUE)</f>
        <v>#N/A</v>
      </c>
      <c r="D98" t="e">
        <f>VLOOKUP(DATA!K91,TOPICALAREAS!A$2:B$76,2,TRUE)</f>
        <v>#N/A</v>
      </c>
      <c r="E98" t="e">
        <f>VLOOKUP(DATA!L91,TOPICALAREAS!A$2:B$76,2,TRUE)</f>
        <v>#N/A</v>
      </c>
      <c r="F98" t="e">
        <f>VLOOKUP(DATA!M91,TOPICALAREAS!A$2:B$76,2,TRUE)</f>
        <v>#N/A</v>
      </c>
    </row>
    <row r="99" spans="1:6" x14ac:dyDescent="0.25">
      <c r="A99">
        <f>DATA!G92</f>
        <v>0</v>
      </c>
      <c r="B99" t="e">
        <f>VLOOKUP(DATA!I92,TOPICALAREAS!A$2:B$76,2,TRUE)</f>
        <v>#N/A</v>
      </c>
      <c r="C99" t="e">
        <f>VLOOKUP(DATA!J92,TOPICALAREAS!A$2:B$76,2,TRUE)</f>
        <v>#N/A</v>
      </c>
      <c r="D99" t="e">
        <f>VLOOKUP(DATA!K92,TOPICALAREAS!A$2:B$76,2,TRUE)</f>
        <v>#N/A</v>
      </c>
      <c r="E99" t="e">
        <f>VLOOKUP(DATA!L92,TOPICALAREAS!A$2:B$76,2,TRUE)</f>
        <v>#N/A</v>
      </c>
      <c r="F99" t="e">
        <f>VLOOKUP(DATA!M92,TOPICALAREAS!A99:B173,2,TRUE)</f>
        <v>#N/A</v>
      </c>
    </row>
    <row r="100" spans="1:6" x14ac:dyDescent="0.25">
      <c r="A100">
        <f>DATA!G93</f>
        <v>0</v>
      </c>
      <c r="B100" t="e">
        <f>VLOOKUP(DATA!I93,TOPICALAREAS!A$2:B$76,2,TRUE)</f>
        <v>#N/A</v>
      </c>
      <c r="C100" t="e">
        <f>VLOOKUP(DATA!J93,TOPICALAREAS!A$2:B$76,2,TRUE)</f>
        <v>#N/A</v>
      </c>
      <c r="D100" t="e">
        <f>VLOOKUP(DATA!K93,TOPICALAREAS!A$2:B$76,2,TRUE)</f>
        <v>#N/A</v>
      </c>
      <c r="E100" t="e">
        <f>VLOOKUP(DATA!L93,TOPICALAREAS!A$2:B$76,2,TRUE)</f>
        <v>#N/A</v>
      </c>
      <c r="F100" t="e">
        <f>VLOOKUP(DATA!M93,TOPICALAREAS!A$2:B$76,2,TRUE)</f>
        <v>#N/A</v>
      </c>
    </row>
    <row r="101" spans="1:6" x14ac:dyDescent="0.25">
      <c r="A101">
        <f>DATA!G96</f>
        <v>0</v>
      </c>
      <c r="B101" t="e">
        <f>VLOOKUP(DATA!I96,TOPICALAREAS!A$2:B$76,2,TRUE)</f>
        <v>#N/A</v>
      </c>
      <c r="C101" t="e">
        <f>VLOOKUP(DATA!J96,TOPICALAREAS!A$2:B$76,2,TRUE)</f>
        <v>#N/A</v>
      </c>
      <c r="D101" t="e">
        <f>VLOOKUP(DATA!K96,TOPICALAREAS!A$2:B$76,2,TRUE)</f>
        <v>#N/A</v>
      </c>
      <c r="E101" t="e">
        <f>VLOOKUP(DATA!L96,TOPICALAREAS!A$2:B$76,2,TRUE)</f>
        <v>#N/A</v>
      </c>
      <c r="F101" t="e">
        <f>VLOOKUP(DATA!M96,TOPICALAREAS!A101:B175,2,TRUE)</f>
        <v>#N/A</v>
      </c>
    </row>
    <row r="102" spans="1:6" x14ac:dyDescent="0.25">
      <c r="A102">
        <f>DATA!G97</f>
        <v>0</v>
      </c>
      <c r="B102" t="e">
        <f>VLOOKUP(DATA!I97,TOPICALAREAS!A$2:B$76,2,TRUE)</f>
        <v>#N/A</v>
      </c>
      <c r="C102" t="e">
        <f>VLOOKUP(DATA!J97,TOPICALAREAS!A$2:B$76,2,TRUE)</f>
        <v>#N/A</v>
      </c>
      <c r="D102" t="e">
        <f>VLOOKUP(DATA!K97,TOPICALAREAS!A$2:B$76,2,TRUE)</f>
        <v>#N/A</v>
      </c>
      <c r="E102" t="e">
        <f>VLOOKUP(DATA!L97,TOPICALAREAS!A$2:B$76,2,TRUE)</f>
        <v>#N/A</v>
      </c>
      <c r="F102" t="e">
        <f>VLOOKUP(DATA!M97,TOPICALAREAS!A$2:B$76,2,TRUE)</f>
        <v>#N/A</v>
      </c>
    </row>
    <row r="103" spans="1:6" x14ac:dyDescent="0.25">
      <c r="A103">
        <f>DATA!G98</f>
        <v>0</v>
      </c>
      <c r="B103" t="e">
        <f>VLOOKUP(DATA!I98,TOPICALAREAS!A$2:B$76,2,TRUE)</f>
        <v>#N/A</v>
      </c>
      <c r="C103" t="e">
        <f>VLOOKUP(DATA!J98,TOPICALAREAS!A$2:B$76,2,TRUE)</f>
        <v>#N/A</v>
      </c>
      <c r="D103" t="e">
        <f>VLOOKUP(DATA!K98,TOPICALAREAS!A$2:B$76,2,TRUE)</f>
        <v>#N/A</v>
      </c>
      <c r="E103" t="e">
        <f>VLOOKUP(DATA!L98,TOPICALAREAS!A$2:B$76,2,TRUE)</f>
        <v>#N/A</v>
      </c>
      <c r="F103" t="e">
        <f>VLOOKUP(DATA!M98,TOPICALAREAS!A103:B177,2,TRUE)</f>
        <v>#N/A</v>
      </c>
    </row>
    <row r="104" spans="1:6" x14ac:dyDescent="0.25">
      <c r="A104">
        <f>DATA!G99</f>
        <v>0</v>
      </c>
      <c r="B104" t="e">
        <f>VLOOKUP(DATA!I99,TOPICALAREAS!A$2:B$76,2,TRUE)</f>
        <v>#N/A</v>
      </c>
      <c r="C104" t="e">
        <f>VLOOKUP(DATA!J99,TOPICALAREAS!A$2:B$76,2,TRUE)</f>
        <v>#N/A</v>
      </c>
      <c r="D104" t="e">
        <f>VLOOKUP(DATA!K99,TOPICALAREAS!A$2:B$76,2,TRUE)</f>
        <v>#N/A</v>
      </c>
      <c r="E104" t="e">
        <f>VLOOKUP(DATA!L99,TOPICALAREAS!A$2:B$76,2,TRUE)</f>
        <v>#N/A</v>
      </c>
      <c r="F104" t="e">
        <f>VLOOKUP(DATA!M99,TOPICALAREAS!A$2:B$76,2,TRUE)</f>
        <v>#N/A</v>
      </c>
    </row>
    <row r="105" spans="1:6" x14ac:dyDescent="0.25">
      <c r="A105">
        <f>DATA!G100</f>
        <v>0</v>
      </c>
      <c r="B105" t="e">
        <f>VLOOKUP(DATA!I100,TOPICALAREAS!A$2:B$76,2,TRUE)</f>
        <v>#N/A</v>
      </c>
      <c r="C105" t="e">
        <f>VLOOKUP(DATA!J100,TOPICALAREAS!A$2:B$76,2,TRUE)</f>
        <v>#N/A</v>
      </c>
      <c r="D105" t="e">
        <f>VLOOKUP(DATA!K100,TOPICALAREAS!A$2:B$76,2,TRUE)</f>
        <v>#N/A</v>
      </c>
      <c r="E105" t="e">
        <f>VLOOKUP(DATA!L100,TOPICALAREAS!A$2:B$76,2,TRUE)</f>
        <v>#N/A</v>
      </c>
      <c r="F105" t="e">
        <f>VLOOKUP(DATA!M100,TOPICALAREAS!A105:B179,2,TRUE)</f>
        <v>#N/A</v>
      </c>
    </row>
    <row r="106" spans="1:6" x14ac:dyDescent="0.25">
      <c r="A106">
        <f>DATA!G101</f>
        <v>0</v>
      </c>
      <c r="B106" t="e">
        <f>VLOOKUP(DATA!I101,TOPICALAREAS!A$2:B$76,2,TRUE)</f>
        <v>#N/A</v>
      </c>
      <c r="C106" t="e">
        <f>VLOOKUP(DATA!J101,TOPICALAREAS!A$2:B$76,2,TRUE)</f>
        <v>#N/A</v>
      </c>
      <c r="D106" t="e">
        <f>VLOOKUP(DATA!K101,TOPICALAREAS!A$2:B$76,2,TRUE)</f>
        <v>#N/A</v>
      </c>
      <c r="E106" t="e">
        <f>VLOOKUP(DATA!L101,TOPICALAREAS!A$2:B$76,2,TRUE)</f>
        <v>#N/A</v>
      </c>
      <c r="F106" t="e">
        <f>VLOOKUP(DATA!M101,TOPICALAREAS!A$2:B$76,2,TRUE)</f>
        <v>#N/A</v>
      </c>
    </row>
    <row r="107" spans="1:6" x14ac:dyDescent="0.25">
      <c r="A107">
        <f>DATA!G102</f>
        <v>0</v>
      </c>
      <c r="B107" t="e">
        <f>VLOOKUP(DATA!I102,TOPICALAREAS!A$2:B$76,2,TRUE)</f>
        <v>#N/A</v>
      </c>
      <c r="C107" t="e">
        <f>VLOOKUP(DATA!J102,TOPICALAREAS!A$2:B$76,2,TRUE)</f>
        <v>#N/A</v>
      </c>
      <c r="D107" t="e">
        <f>VLOOKUP(DATA!K102,TOPICALAREAS!A$2:B$76,2,TRUE)</f>
        <v>#N/A</v>
      </c>
      <c r="E107" t="e">
        <f>VLOOKUP(DATA!L102,TOPICALAREAS!A$2:B$76,2,TRUE)</f>
        <v>#N/A</v>
      </c>
      <c r="F107" t="e">
        <f>VLOOKUP(DATA!M102,TOPICALAREAS!A107:B181,2,TRUE)</f>
        <v>#N/A</v>
      </c>
    </row>
    <row r="108" spans="1:6" x14ac:dyDescent="0.25">
      <c r="A108" t="e">
        <f>DATA!#REF!</f>
        <v>#REF!</v>
      </c>
      <c r="B108" t="e">
        <f>VLOOKUP(DATA!#REF!,TOPICALAREAS!A$2:B$76,2,TRUE)</f>
        <v>#REF!</v>
      </c>
      <c r="C108" t="e">
        <f>VLOOKUP(DATA!#REF!,TOPICALAREAS!A$2:B$76,2,TRUE)</f>
        <v>#REF!</v>
      </c>
      <c r="D108" t="e">
        <f>VLOOKUP(DATA!#REF!,TOPICALAREAS!A$2:B$76,2,TRUE)</f>
        <v>#REF!</v>
      </c>
      <c r="E108" t="e">
        <f>VLOOKUP(DATA!#REF!,TOPICALAREAS!A$2:B$76,2,TRUE)</f>
        <v>#REF!</v>
      </c>
      <c r="F108" t="e">
        <f>VLOOKUP(DATA!#REF!,TOPICALAREAS!A$2:B$76,2,TRUE)</f>
        <v>#REF!</v>
      </c>
    </row>
    <row r="109" spans="1:6" x14ac:dyDescent="0.25">
      <c r="A109">
        <f>DATA!G103</f>
        <v>0</v>
      </c>
      <c r="B109" t="e">
        <f>VLOOKUP(DATA!I103,TOPICALAREAS!A$2:B$76,2,TRUE)</f>
        <v>#N/A</v>
      </c>
      <c r="C109" t="e">
        <f>VLOOKUP(DATA!J103,TOPICALAREAS!A$2:B$76,2,TRUE)</f>
        <v>#N/A</v>
      </c>
      <c r="D109" t="e">
        <f>VLOOKUP(DATA!K103,TOPICALAREAS!A$2:B$76,2,TRUE)</f>
        <v>#N/A</v>
      </c>
      <c r="E109" t="e">
        <f>VLOOKUP(DATA!L103,TOPICALAREAS!A$2:B$76,2,TRUE)</f>
        <v>#N/A</v>
      </c>
      <c r="F109" t="e">
        <f>VLOOKUP(DATA!M103,TOPICALAREAS!A109:B183,2,TRUE)</f>
        <v>#N/A</v>
      </c>
    </row>
    <row r="110" spans="1:6" x14ac:dyDescent="0.25">
      <c r="A110" t="e">
        <f>DATA!#REF!</f>
        <v>#REF!</v>
      </c>
      <c r="B110" t="e">
        <f>VLOOKUP(DATA!#REF!,TOPICALAREAS!A$2:B$76,2,TRUE)</f>
        <v>#REF!</v>
      </c>
      <c r="C110" t="e">
        <f>VLOOKUP(DATA!#REF!,TOPICALAREAS!A$2:B$76,2,TRUE)</f>
        <v>#REF!</v>
      </c>
      <c r="D110" t="e">
        <f>VLOOKUP(DATA!#REF!,TOPICALAREAS!A$2:B$76,2,TRUE)</f>
        <v>#REF!</v>
      </c>
      <c r="E110" t="e">
        <f>VLOOKUP(DATA!#REF!,TOPICALAREAS!A$2:B$76,2,TRUE)</f>
        <v>#REF!</v>
      </c>
      <c r="F110" t="e">
        <f>VLOOKUP(DATA!#REF!,TOPICALAREAS!A$2:B$76,2,TRUE)</f>
        <v>#REF!</v>
      </c>
    </row>
    <row r="111" spans="1:6" x14ac:dyDescent="0.25">
      <c r="A111">
        <f>DATA!G104</f>
        <v>0</v>
      </c>
      <c r="B111" t="e">
        <f>VLOOKUP(DATA!I104,TOPICALAREAS!A$2:B$76,2,TRUE)</f>
        <v>#N/A</v>
      </c>
      <c r="C111" t="e">
        <f>VLOOKUP(DATA!J104,TOPICALAREAS!A$2:B$76,2,TRUE)</f>
        <v>#N/A</v>
      </c>
      <c r="D111" t="e">
        <f>VLOOKUP(DATA!K104,TOPICALAREAS!A$2:B$76,2,TRUE)</f>
        <v>#N/A</v>
      </c>
      <c r="E111" t="e">
        <f>VLOOKUP(DATA!L104,TOPICALAREAS!A$2:B$76,2,TRUE)</f>
        <v>#N/A</v>
      </c>
      <c r="F111" t="e">
        <f>VLOOKUP(DATA!M104,TOPICALAREAS!A111:B185,2,TRUE)</f>
        <v>#N/A</v>
      </c>
    </row>
    <row r="112" spans="1:6" x14ac:dyDescent="0.25">
      <c r="A112">
        <f>DATA!G105</f>
        <v>0</v>
      </c>
      <c r="B112" t="e">
        <f>VLOOKUP(DATA!I105,TOPICALAREAS!A$2:B$76,2,TRUE)</f>
        <v>#N/A</v>
      </c>
      <c r="C112" t="e">
        <f>VLOOKUP(DATA!J105,TOPICALAREAS!A$2:B$76,2,TRUE)</f>
        <v>#N/A</v>
      </c>
      <c r="D112" t="e">
        <f>VLOOKUP(DATA!K105,TOPICALAREAS!A$2:B$76,2,TRUE)</f>
        <v>#N/A</v>
      </c>
      <c r="E112" t="e">
        <f>VLOOKUP(DATA!L105,TOPICALAREAS!A$2:B$76,2,TRUE)</f>
        <v>#N/A</v>
      </c>
      <c r="F112" t="e">
        <f>VLOOKUP(DATA!M105,TOPICALAREAS!A$2:B$76,2,TRUE)</f>
        <v>#N/A</v>
      </c>
    </row>
    <row r="113" spans="1:6" x14ac:dyDescent="0.25">
      <c r="A113">
        <f>DATA!G106</f>
        <v>0</v>
      </c>
      <c r="B113" t="e">
        <f>VLOOKUP(DATA!I106,TOPICALAREAS!A$2:B$76,2,TRUE)</f>
        <v>#N/A</v>
      </c>
      <c r="C113" t="e">
        <f>VLOOKUP(DATA!J106,TOPICALAREAS!A$2:B$76,2,TRUE)</f>
        <v>#N/A</v>
      </c>
      <c r="D113" t="e">
        <f>VLOOKUP(DATA!K106,TOPICALAREAS!A$2:B$76,2,TRUE)</f>
        <v>#N/A</v>
      </c>
      <c r="E113" t="e">
        <f>VLOOKUP(DATA!L106,TOPICALAREAS!A$2:B$76,2,TRUE)</f>
        <v>#N/A</v>
      </c>
      <c r="F113" t="e">
        <f>VLOOKUP(DATA!M106,TOPICALAREAS!A113:B187,2,TRUE)</f>
        <v>#N/A</v>
      </c>
    </row>
    <row r="114" spans="1:6" x14ac:dyDescent="0.25">
      <c r="A114">
        <f>DATA!G107</f>
        <v>0</v>
      </c>
      <c r="B114" t="e">
        <f>VLOOKUP(DATA!I107,TOPICALAREAS!A$2:B$76,2,TRUE)</f>
        <v>#N/A</v>
      </c>
      <c r="C114" t="e">
        <f>VLOOKUP(DATA!J107,TOPICALAREAS!A$2:B$76,2,TRUE)</f>
        <v>#N/A</v>
      </c>
      <c r="D114" t="e">
        <f>VLOOKUP(DATA!K107,TOPICALAREAS!A$2:B$76,2,TRUE)</f>
        <v>#N/A</v>
      </c>
      <c r="E114" t="e">
        <f>VLOOKUP(DATA!L107,TOPICALAREAS!A$2:B$76,2,TRUE)</f>
        <v>#N/A</v>
      </c>
      <c r="F114" t="e">
        <f>VLOOKUP(DATA!M107,TOPICALAREAS!A$2:B$76,2,TRUE)</f>
        <v>#N/A</v>
      </c>
    </row>
    <row r="115" spans="1:6" x14ac:dyDescent="0.25">
      <c r="A115">
        <f>DATA!G108</f>
        <v>0</v>
      </c>
      <c r="B115" t="e">
        <f>VLOOKUP(DATA!I108,TOPICALAREAS!A$2:B$76,2,TRUE)</f>
        <v>#N/A</v>
      </c>
      <c r="C115" t="e">
        <f>VLOOKUP(DATA!J108,TOPICALAREAS!A$2:B$76,2,TRUE)</f>
        <v>#N/A</v>
      </c>
      <c r="D115" t="e">
        <f>VLOOKUP(DATA!K108,TOPICALAREAS!A$2:B$76,2,TRUE)</f>
        <v>#N/A</v>
      </c>
      <c r="E115" t="e">
        <f>VLOOKUP(DATA!L108,TOPICALAREAS!A$2:B$76,2,TRUE)</f>
        <v>#N/A</v>
      </c>
      <c r="F115" t="e">
        <f>VLOOKUP(DATA!M108,TOPICALAREAS!A115:B189,2,TRUE)</f>
        <v>#N/A</v>
      </c>
    </row>
    <row r="116" spans="1:6" x14ac:dyDescent="0.25">
      <c r="A116">
        <f>DATA!G109</f>
        <v>0</v>
      </c>
      <c r="B116" t="e">
        <f>VLOOKUP(DATA!I109,TOPICALAREAS!A$2:B$76,2,TRUE)</f>
        <v>#N/A</v>
      </c>
      <c r="C116" t="e">
        <f>VLOOKUP(DATA!J109,TOPICALAREAS!A$2:B$76,2,TRUE)</f>
        <v>#N/A</v>
      </c>
      <c r="D116" t="e">
        <f>VLOOKUP(DATA!K109,TOPICALAREAS!A$2:B$76,2,TRUE)</f>
        <v>#N/A</v>
      </c>
      <c r="E116" t="e">
        <f>VLOOKUP(DATA!L109,TOPICALAREAS!A$2:B$76,2,TRUE)</f>
        <v>#N/A</v>
      </c>
      <c r="F116" t="e">
        <f>VLOOKUP(DATA!M109,TOPICALAREAS!A$2:B$76,2,TRUE)</f>
        <v>#N/A</v>
      </c>
    </row>
    <row r="117" spans="1:6" x14ac:dyDescent="0.25">
      <c r="A117">
        <f>DATA!G110</f>
        <v>0</v>
      </c>
      <c r="B117" t="e">
        <f>VLOOKUP(DATA!I110,TOPICALAREAS!A$2:B$76,2,TRUE)</f>
        <v>#N/A</v>
      </c>
      <c r="C117" t="e">
        <f>VLOOKUP(DATA!J110,TOPICALAREAS!A$2:B$76,2,TRUE)</f>
        <v>#N/A</v>
      </c>
      <c r="D117" t="e">
        <f>VLOOKUP(DATA!K110,TOPICALAREAS!A$2:B$76,2,TRUE)</f>
        <v>#N/A</v>
      </c>
      <c r="E117" t="e">
        <f>VLOOKUP(DATA!L110,TOPICALAREAS!A$2:B$76,2,TRUE)</f>
        <v>#N/A</v>
      </c>
      <c r="F117" t="e">
        <f>VLOOKUP(DATA!M110,TOPICALAREAS!A117:B191,2,TRUE)</f>
        <v>#N/A</v>
      </c>
    </row>
    <row r="118" spans="1:6" x14ac:dyDescent="0.25">
      <c r="A118">
        <f>DATA!G111</f>
        <v>0</v>
      </c>
      <c r="B118" t="e">
        <f>VLOOKUP(DATA!I111,TOPICALAREAS!A$2:B$76,2,TRUE)</f>
        <v>#N/A</v>
      </c>
      <c r="C118" t="e">
        <f>VLOOKUP(DATA!J111,TOPICALAREAS!A$2:B$76,2,TRUE)</f>
        <v>#N/A</v>
      </c>
      <c r="D118" t="e">
        <f>VLOOKUP(DATA!K111,TOPICALAREAS!A$2:B$76,2,TRUE)</f>
        <v>#N/A</v>
      </c>
      <c r="E118" t="e">
        <f>VLOOKUP(DATA!L111,TOPICALAREAS!A$2:B$76,2,TRUE)</f>
        <v>#N/A</v>
      </c>
      <c r="F118" t="e">
        <f>VLOOKUP(DATA!M111,TOPICALAREAS!A$2:B$76,2,TRUE)</f>
        <v>#N/A</v>
      </c>
    </row>
    <row r="119" spans="1:6" x14ac:dyDescent="0.25">
      <c r="A119">
        <f>DATA!G112</f>
        <v>0</v>
      </c>
      <c r="B119" t="e">
        <f>VLOOKUP(DATA!I112,TOPICALAREAS!A$2:B$76,2,TRUE)</f>
        <v>#N/A</v>
      </c>
      <c r="C119" t="e">
        <f>VLOOKUP(DATA!J112,TOPICALAREAS!A$2:B$76,2,TRUE)</f>
        <v>#N/A</v>
      </c>
      <c r="D119" t="e">
        <f>VLOOKUP(DATA!K112,TOPICALAREAS!A$2:B$76,2,TRUE)</f>
        <v>#N/A</v>
      </c>
      <c r="E119" t="e">
        <f>VLOOKUP(DATA!L112,TOPICALAREAS!A$2:B$76,2,TRUE)</f>
        <v>#N/A</v>
      </c>
      <c r="F119" t="e">
        <f>VLOOKUP(DATA!M112,TOPICALAREAS!A119:B193,2,TRUE)</f>
        <v>#N/A</v>
      </c>
    </row>
    <row r="120" spans="1:6" x14ac:dyDescent="0.25">
      <c r="A120">
        <f>DATA!G113</f>
        <v>0</v>
      </c>
      <c r="B120" t="e">
        <f>VLOOKUP(DATA!I113,TOPICALAREAS!A$2:B$76,2,TRUE)</f>
        <v>#N/A</v>
      </c>
      <c r="C120" t="e">
        <f>VLOOKUP(DATA!J113,TOPICALAREAS!A$2:B$76,2,TRUE)</f>
        <v>#N/A</v>
      </c>
      <c r="D120" t="e">
        <f>VLOOKUP(DATA!K113,TOPICALAREAS!A$2:B$76,2,TRUE)</f>
        <v>#N/A</v>
      </c>
      <c r="E120" t="e">
        <f>VLOOKUP(DATA!L113,TOPICALAREAS!A$2:B$76,2,TRUE)</f>
        <v>#N/A</v>
      </c>
      <c r="F120" t="e">
        <f>VLOOKUP(DATA!M113,TOPICALAREAS!A$2:B$76,2,TRUE)</f>
        <v>#N/A</v>
      </c>
    </row>
    <row r="121" spans="1:6" x14ac:dyDescent="0.25">
      <c r="A121">
        <f>DATA!G114</f>
        <v>0</v>
      </c>
      <c r="B121" t="e">
        <f>VLOOKUP(DATA!I114,TOPICALAREAS!A$2:B$76,2,TRUE)</f>
        <v>#N/A</v>
      </c>
      <c r="C121" t="e">
        <f>VLOOKUP(DATA!J114,TOPICALAREAS!A$2:B$76,2,TRUE)</f>
        <v>#N/A</v>
      </c>
      <c r="D121" t="e">
        <f>VLOOKUP(DATA!K114,TOPICALAREAS!A$2:B$76,2,TRUE)</f>
        <v>#N/A</v>
      </c>
      <c r="E121" t="e">
        <f>VLOOKUP(DATA!L114,TOPICALAREAS!A$2:B$76,2,TRUE)</f>
        <v>#N/A</v>
      </c>
      <c r="F121" t="e">
        <f>VLOOKUP(DATA!M114,TOPICALAREAS!A121:B195,2,TRUE)</f>
        <v>#N/A</v>
      </c>
    </row>
    <row r="122" spans="1:6" x14ac:dyDescent="0.25">
      <c r="A122">
        <f>DATA!G115</f>
        <v>0</v>
      </c>
      <c r="B122" t="e">
        <f>VLOOKUP(DATA!I115,TOPICALAREAS!A$2:B$76,2,TRUE)</f>
        <v>#N/A</v>
      </c>
      <c r="C122" t="e">
        <f>VLOOKUP(DATA!J115,TOPICALAREAS!A$2:B$76,2,TRUE)</f>
        <v>#N/A</v>
      </c>
      <c r="D122" t="e">
        <f>VLOOKUP(DATA!K115,TOPICALAREAS!A$2:B$76,2,TRUE)</f>
        <v>#N/A</v>
      </c>
      <c r="E122" t="e">
        <f>VLOOKUP(DATA!L115,TOPICALAREAS!A$2:B$76,2,TRUE)</f>
        <v>#N/A</v>
      </c>
      <c r="F122" t="e">
        <f>VLOOKUP(DATA!M115,TOPICALAREAS!A$2:B$76,2,TRUE)</f>
        <v>#N/A</v>
      </c>
    </row>
    <row r="123" spans="1:6" x14ac:dyDescent="0.25">
      <c r="A123">
        <f>DATA!G116</f>
        <v>0</v>
      </c>
      <c r="B123" t="e">
        <f>VLOOKUP(DATA!I116,TOPICALAREAS!A$2:B$76,2,TRUE)</f>
        <v>#N/A</v>
      </c>
      <c r="C123" t="e">
        <f>VLOOKUP(DATA!J116,TOPICALAREAS!A$2:B$76,2,TRUE)</f>
        <v>#N/A</v>
      </c>
      <c r="D123" t="e">
        <f>VLOOKUP(DATA!K116,TOPICALAREAS!A$2:B$76,2,TRUE)</f>
        <v>#N/A</v>
      </c>
      <c r="E123" t="e">
        <f>VLOOKUP(DATA!L116,TOPICALAREAS!A$2:B$76,2,TRUE)</f>
        <v>#N/A</v>
      </c>
      <c r="F123" t="e">
        <f>VLOOKUP(DATA!M116,TOPICALAREAS!A123:B197,2,TRUE)</f>
        <v>#N/A</v>
      </c>
    </row>
    <row r="124" spans="1:6" x14ac:dyDescent="0.25">
      <c r="A124">
        <f>DATA!G117</f>
        <v>0</v>
      </c>
      <c r="B124" t="e">
        <f>VLOOKUP(DATA!I117,TOPICALAREAS!A$2:B$76,2,TRUE)</f>
        <v>#N/A</v>
      </c>
      <c r="C124" t="e">
        <f>VLOOKUP(DATA!J117,TOPICALAREAS!A$2:B$76,2,TRUE)</f>
        <v>#N/A</v>
      </c>
      <c r="D124" t="e">
        <f>VLOOKUP(DATA!K117,TOPICALAREAS!A$2:B$76,2,TRUE)</f>
        <v>#N/A</v>
      </c>
      <c r="E124" t="e">
        <f>VLOOKUP(DATA!L117,TOPICALAREAS!A$2:B$76,2,TRUE)</f>
        <v>#N/A</v>
      </c>
      <c r="F124" t="e">
        <f>VLOOKUP(DATA!M117,TOPICALAREAS!A$2:B$76,2,TRUE)</f>
        <v>#N/A</v>
      </c>
    </row>
    <row r="125" spans="1:6" x14ac:dyDescent="0.25">
      <c r="A125">
        <f>DATA!G118</f>
        <v>0</v>
      </c>
      <c r="B125" t="e">
        <f>VLOOKUP(DATA!I118,TOPICALAREAS!A$2:B$76,2,TRUE)</f>
        <v>#N/A</v>
      </c>
      <c r="C125" t="e">
        <f>VLOOKUP(DATA!J118,TOPICALAREAS!A$2:B$76,2,TRUE)</f>
        <v>#N/A</v>
      </c>
      <c r="D125" t="e">
        <f>VLOOKUP(DATA!K118,TOPICALAREAS!A$2:B$76,2,TRUE)</f>
        <v>#N/A</v>
      </c>
      <c r="E125" t="e">
        <f>VLOOKUP(DATA!L118,TOPICALAREAS!A$2:B$76,2,TRUE)</f>
        <v>#N/A</v>
      </c>
      <c r="F125" t="e">
        <f>VLOOKUP(DATA!M118,TOPICALAREAS!A125:B199,2,TRUE)</f>
        <v>#N/A</v>
      </c>
    </row>
    <row r="126" spans="1:6" x14ac:dyDescent="0.25">
      <c r="A126">
        <f>DATA!G119</f>
        <v>0</v>
      </c>
      <c r="B126" t="e">
        <f>VLOOKUP(DATA!I119,TOPICALAREAS!A$2:B$76,2,TRUE)</f>
        <v>#N/A</v>
      </c>
      <c r="C126" t="e">
        <f>VLOOKUP(DATA!J119,TOPICALAREAS!A$2:B$76,2,TRUE)</f>
        <v>#N/A</v>
      </c>
      <c r="D126" t="e">
        <f>VLOOKUP(DATA!K119,TOPICALAREAS!A$2:B$76,2,TRUE)</f>
        <v>#N/A</v>
      </c>
      <c r="E126" t="e">
        <f>VLOOKUP(DATA!L119,TOPICALAREAS!A$2:B$76,2,TRUE)</f>
        <v>#N/A</v>
      </c>
      <c r="F126" t="e">
        <f>VLOOKUP(DATA!M119,TOPICALAREAS!A$2:B$76,2,TRUE)</f>
        <v>#N/A</v>
      </c>
    </row>
    <row r="127" spans="1:6" x14ac:dyDescent="0.25">
      <c r="A127">
        <f>DATA!G120</f>
        <v>0</v>
      </c>
      <c r="B127" t="e">
        <f>VLOOKUP(DATA!I120,TOPICALAREAS!A$2:B$76,2,TRUE)</f>
        <v>#N/A</v>
      </c>
      <c r="C127" t="e">
        <f>VLOOKUP(DATA!J120,TOPICALAREAS!A$2:B$76,2,TRUE)</f>
        <v>#N/A</v>
      </c>
      <c r="D127" t="e">
        <f>VLOOKUP(DATA!K120,TOPICALAREAS!A$2:B$76,2,TRUE)</f>
        <v>#N/A</v>
      </c>
      <c r="E127" t="e">
        <f>VLOOKUP(DATA!L120,TOPICALAREAS!A$2:B$76,2,TRUE)</f>
        <v>#N/A</v>
      </c>
      <c r="F127" t="e">
        <f>VLOOKUP(DATA!M120,TOPICALAREAS!A127:B201,2,TRUE)</f>
        <v>#N/A</v>
      </c>
    </row>
    <row r="128" spans="1:6" x14ac:dyDescent="0.25">
      <c r="A128">
        <f>DATA!G121</f>
        <v>0</v>
      </c>
      <c r="B128" t="e">
        <f>VLOOKUP(DATA!I121,TOPICALAREAS!A$2:B$76,2,TRUE)</f>
        <v>#N/A</v>
      </c>
      <c r="C128" t="e">
        <f>VLOOKUP(DATA!J121,TOPICALAREAS!A$2:B$76,2,TRUE)</f>
        <v>#N/A</v>
      </c>
      <c r="D128" t="e">
        <f>VLOOKUP(DATA!K121,TOPICALAREAS!A$2:B$76,2,TRUE)</f>
        <v>#N/A</v>
      </c>
      <c r="E128" t="e">
        <f>VLOOKUP(DATA!L121,TOPICALAREAS!A$2:B$76,2,TRUE)</f>
        <v>#N/A</v>
      </c>
      <c r="F128" t="e">
        <f>VLOOKUP(DATA!M121,TOPICALAREAS!A$2:B$76,2,TRUE)</f>
        <v>#N/A</v>
      </c>
    </row>
    <row r="129" spans="1:6" x14ac:dyDescent="0.25">
      <c r="A129">
        <f>DATA!G122</f>
        <v>0</v>
      </c>
      <c r="B129" t="e">
        <f>VLOOKUP(DATA!I122,TOPICALAREAS!A$2:B$76,2,TRUE)</f>
        <v>#N/A</v>
      </c>
      <c r="C129" t="e">
        <f>VLOOKUP(DATA!J122,TOPICALAREAS!A$2:B$76,2,TRUE)</f>
        <v>#N/A</v>
      </c>
      <c r="D129" t="e">
        <f>VLOOKUP(DATA!K122,TOPICALAREAS!A$2:B$76,2,TRUE)</f>
        <v>#N/A</v>
      </c>
      <c r="E129" t="e">
        <f>VLOOKUP(DATA!L122,TOPICALAREAS!A$2:B$76,2,TRUE)</f>
        <v>#N/A</v>
      </c>
      <c r="F129" t="e">
        <f>VLOOKUP(DATA!M122,TOPICALAREAS!A129:B203,2,TRUE)</f>
        <v>#N/A</v>
      </c>
    </row>
    <row r="130" spans="1:6" x14ac:dyDescent="0.25">
      <c r="A130">
        <f>DATA!G123</f>
        <v>0</v>
      </c>
      <c r="B130" t="e">
        <f>VLOOKUP(DATA!I123,TOPICALAREAS!A$2:B$76,2,TRUE)</f>
        <v>#N/A</v>
      </c>
      <c r="C130" t="e">
        <f>VLOOKUP(DATA!J123,TOPICALAREAS!A$2:B$76,2,TRUE)</f>
        <v>#N/A</v>
      </c>
      <c r="D130" t="e">
        <f>VLOOKUP(DATA!K123,TOPICALAREAS!A$2:B$76,2,TRUE)</f>
        <v>#N/A</v>
      </c>
      <c r="E130" t="e">
        <f>VLOOKUP(DATA!L123,TOPICALAREAS!A$2:B$76,2,TRUE)</f>
        <v>#N/A</v>
      </c>
      <c r="F130" t="e">
        <f>VLOOKUP(DATA!M123,TOPICALAREAS!A$2:B$76,2,TRUE)</f>
        <v>#N/A</v>
      </c>
    </row>
    <row r="131" spans="1:6" x14ac:dyDescent="0.25">
      <c r="A131">
        <f>DATA!G124</f>
        <v>0</v>
      </c>
      <c r="B131" t="e">
        <f>VLOOKUP(DATA!I124,TOPICALAREAS!A$2:B$76,2,TRUE)</f>
        <v>#N/A</v>
      </c>
      <c r="C131" t="e">
        <f>VLOOKUP(DATA!J124,TOPICALAREAS!A$2:B$76,2,TRUE)</f>
        <v>#N/A</v>
      </c>
      <c r="D131" t="e">
        <f>VLOOKUP(DATA!K124,TOPICALAREAS!A$2:B$76,2,TRUE)</f>
        <v>#N/A</v>
      </c>
      <c r="E131" t="e">
        <f>VLOOKUP(DATA!L124,TOPICALAREAS!A$2:B$76,2,TRUE)</f>
        <v>#N/A</v>
      </c>
      <c r="F131" t="e">
        <f>VLOOKUP(DATA!M124,TOPICALAREAS!A131:B205,2,TRUE)</f>
        <v>#N/A</v>
      </c>
    </row>
    <row r="132" spans="1:6" x14ac:dyDescent="0.25">
      <c r="A132">
        <f>DATA!G125</f>
        <v>0</v>
      </c>
      <c r="B132" t="e">
        <f>VLOOKUP(DATA!I125,TOPICALAREAS!A$2:B$76,2,TRUE)</f>
        <v>#N/A</v>
      </c>
      <c r="C132" t="e">
        <f>VLOOKUP(DATA!J125,TOPICALAREAS!A$2:B$76,2,TRUE)</f>
        <v>#N/A</v>
      </c>
      <c r="D132" t="e">
        <f>VLOOKUP(DATA!K125,TOPICALAREAS!A$2:B$76,2,TRUE)</f>
        <v>#N/A</v>
      </c>
      <c r="E132" t="e">
        <f>VLOOKUP(DATA!L125,TOPICALAREAS!A$2:B$76,2,TRUE)</f>
        <v>#N/A</v>
      </c>
      <c r="F132" t="e">
        <f>VLOOKUP(DATA!M125,TOPICALAREAS!A$2:B$76,2,TRUE)</f>
        <v>#N/A</v>
      </c>
    </row>
    <row r="133" spans="1:6" x14ac:dyDescent="0.25">
      <c r="A133">
        <f>DATA!G126</f>
        <v>0</v>
      </c>
      <c r="B133" t="e">
        <f>VLOOKUP(DATA!I126,TOPICALAREAS!A$2:B$76,2,TRUE)</f>
        <v>#N/A</v>
      </c>
      <c r="C133" t="e">
        <f>VLOOKUP(DATA!J126,TOPICALAREAS!A$2:B$76,2,TRUE)</f>
        <v>#N/A</v>
      </c>
      <c r="D133" t="e">
        <f>VLOOKUP(DATA!K126,TOPICALAREAS!A$2:B$76,2,TRUE)</f>
        <v>#N/A</v>
      </c>
      <c r="E133" t="e">
        <f>VLOOKUP(DATA!L126,TOPICALAREAS!A$2:B$76,2,TRUE)</f>
        <v>#N/A</v>
      </c>
      <c r="F133" t="e">
        <f>VLOOKUP(DATA!M126,TOPICALAREAS!A133:B207,2,TRUE)</f>
        <v>#N/A</v>
      </c>
    </row>
    <row r="134" spans="1:6" x14ac:dyDescent="0.25">
      <c r="A134">
        <f>DATA!G127</f>
        <v>0</v>
      </c>
      <c r="B134" t="e">
        <f>VLOOKUP(DATA!I127,TOPICALAREAS!A$2:B$76,2,TRUE)</f>
        <v>#N/A</v>
      </c>
      <c r="C134" t="e">
        <f>VLOOKUP(DATA!J127,TOPICALAREAS!A$2:B$76,2,TRUE)</f>
        <v>#N/A</v>
      </c>
      <c r="D134" t="e">
        <f>VLOOKUP(DATA!K127,TOPICALAREAS!A$2:B$76,2,TRUE)</f>
        <v>#N/A</v>
      </c>
      <c r="E134" t="e">
        <f>VLOOKUP(DATA!L127,TOPICALAREAS!A$2:B$76,2,TRUE)</f>
        <v>#N/A</v>
      </c>
      <c r="F134" t="e">
        <f>VLOOKUP(DATA!M127,TOPICALAREAS!A$2:B$76,2,TRUE)</f>
        <v>#N/A</v>
      </c>
    </row>
    <row r="135" spans="1:6" x14ac:dyDescent="0.25">
      <c r="A135">
        <f>DATA!G128</f>
        <v>0</v>
      </c>
      <c r="B135" t="e">
        <f>VLOOKUP(DATA!I128,TOPICALAREAS!A$2:B$76,2,TRUE)</f>
        <v>#N/A</v>
      </c>
      <c r="C135" t="e">
        <f>VLOOKUP(DATA!J128,TOPICALAREAS!A$2:B$76,2,TRUE)</f>
        <v>#N/A</v>
      </c>
      <c r="D135" t="e">
        <f>VLOOKUP(DATA!K128,TOPICALAREAS!A$2:B$76,2,TRUE)</f>
        <v>#N/A</v>
      </c>
      <c r="E135" t="e">
        <f>VLOOKUP(DATA!L128,TOPICALAREAS!A$2:B$76,2,TRUE)</f>
        <v>#N/A</v>
      </c>
      <c r="F135" t="e">
        <f>VLOOKUP(DATA!M128,TOPICALAREAS!A135:B209,2,TRUE)</f>
        <v>#N/A</v>
      </c>
    </row>
    <row r="136" spans="1:6" x14ac:dyDescent="0.25">
      <c r="A136">
        <f>DATA!G129</f>
        <v>0</v>
      </c>
      <c r="B136" t="e">
        <f>VLOOKUP(DATA!I129,TOPICALAREAS!A$2:B$76,2,TRUE)</f>
        <v>#N/A</v>
      </c>
      <c r="C136" t="e">
        <f>VLOOKUP(DATA!J129,TOPICALAREAS!A$2:B$76,2,TRUE)</f>
        <v>#N/A</v>
      </c>
      <c r="D136" t="e">
        <f>VLOOKUP(DATA!K129,TOPICALAREAS!A$2:B$76,2,TRUE)</f>
        <v>#N/A</v>
      </c>
      <c r="E136" t="e">
        <f>VLOOKUP(DATA!L129,TOPICALAREAS!A$2:B$76,2,TRUE)</f>
        <v>#N/A</v>
      </c>
      <c r="F136" t="e">
        <f>VLOOKUP(DATA!M129,TOPICALAREAS!A$2:B$76,2,TRUE)</f>
        <v>#N/A</v>
      </c>
    </row>
    <row r="137" spans="1:6" x14ac:dyDescent="0.25">
      <c r="A137">
        <f>DATA!G130</f>
        <v>0</v>
      </c>
      <c r="B137" t="e">
        <f>VLOOKUP(DATA!I130,TOPICALAREAS!A$2:B$76,2,TRUE)</f>
        <v>#N/A</v>
      </c>
      <c r="C137" t="e">
        <f>VLOOKUP(DATA!J130,TOPICALAREAS!A$2:B$76,2,TRUE)</f>
        <v>#N/A</v>
      </c>
      <c r="D137" t="e">
        <f>VLOOKUP(DATA!K130,TOPICALAREAS!A$2:B$76,2,TRUE)</f>
        <v>#N/A</v>
      </c>
      <c r="E137" t="e">
        <f>VLOOKUP(DATA!L130,TOPICALAREAS!A$2:B$76,2,TRUE)</f>
        <v>#N/A</v>
      </c>
      <c r="F137" t="e">
        <f>VLOOKUP(DATA!M130,TOPICALAREAS!A137:B211,2,TRUE)</f>
        <v>#N/A</v>
      </c>
    </row>
    <row r="138" spans="1:6" x14ac:dyDescent="0.25">
      <c r="A138">
        <f>DATA!G131</f>
        <v>0</v>
      </c>
      <c r="B138" t="e">
        <f>VLOOKUP(DATA!I131,TOPICALAREAS!A$2:B$76,2,TRUE)</f>
        <v>#N/A</v>
      </c>
      <c r="C138" t="e">
        <f>VLOOKUP(DATA!J131,TOPICALAREAS!A$2:B$76,2,TRUE)</f>
        <v>#N/A</v>
      </c>
      <c r="D138" t="e">
        <f>VLOOKUP(DATA!K131,TOPICALAREAS!A$2:B$76,2,TRUE)</f>
        <v>#N/A</v>
      </c>
      <c r="E138" t="e">
        <f>VLOOKUP(DATA!L131,TOPICALAREAS!A$2:B$76,2,TRUE)</f>
        <v>#N/A</v>
      </c>
      <c r="F138" t="e">
        <f>VLOOKUP(DATA!M131,TOPICALAREAS!A$2:B$76,2,TRUE)</f>
        <v>#N/A</v>
      </c>
    </row>
    <row r="139" spans="1:6" x14ac:dyDescent="0.25">
      <c r="A139">
        <f>DATA!G132</f>
        <v>0</v>
      </c>
      <c r="B139" t="e">
        <f>VLOOKUP(DATA!I132,TOPICALAREAS!A$2:B$76,2,TRUE)</f>
        <v>#N/A</v>
      </c>
      <c r="C139" t="e">
        <f>VLOOKUP(DATA!J132,TOPICALAREAS!A$2:B$76,2,TRUE)</f>
        <v>#N/A</v>
      </c>
      <c r="D139" t="e">
        <f>VLOOKUP(DATA!K132,TOPICALAREAS!A$2:B$76,2,TRUE)</f>
        <v>#N/A</v>
      </c>
      <c r="E139" t="e">
        <f>VLOOKUP(DATA!L132,TOPICALAREAS!A$2:B$76,2,TRUE)</f>
        <v>#N/A</v>
      </c>
      <c r="F139" t="e">
        <f>VLOOKUP(DATA!M132,TOPICALAREAS!A139:B213,2,TRUE)</f>
        <v>#N/A</v>
      </c>
    </row>
    <row r="140" spans="1:6" x14ac:dyDescent="0.25">
      <c r="A140">
        <f>DATA!G133</f>
        <v>0</v>
      </c>
      <c r="B140" t="e">
        <f>VLOOKUP(DATA!I133,TOPICALAREAS!A$2:B$76,2,TRUE)</f>
        <v>#N/A</v>
      </c>
      <c r="C140" t="e">
        <f>VLOOKUP(DATA!J133,TOPICALAREAS!A$2:B$76,2,TRUE)</f>
        <v>#N/A</v>
      </c>
      <c r="D140" t="e">
        <f>VLOOKUP(DATA!K133,TOPICALAREAS!A$2:B$76,2,TRUE)</f>
        <v>#N/A</v>
      </c>
      <c r="E140" t="e">
        <f>VLOOKUP(DATA!L133,TOPICALAREAS!A$2:B$76,2,TRUE)</f>
        <v>#N/A</v>
      </c>
      <c r="F140" t="e">
        <f>VLOOKUP(DATA!M133,TOPICALAREAS!A$2:B$76,2,TRUE)</f>
        <v>#N/A</v>
      </c>
    </row>
    <row r="141" spans="1:6" x14ac:dyDescent="0.25">
      <c r="A141">
        <f>DATA!G134</f>
        <v>0</v>
      </c>
      <c r="B141" t="e">
        <f>VLOOKUP(DATA!I134,TOPICALAREAS!A$2:B$76,2,TRUE)</f>
        <v>#N/A</v>
      </c>
      <c r="C141" t="e">
        <f>VLOOKUP(DATA!J134,TOPICALAREAS!A$2:B$76,2,TRUE)</f>
        <v>#N/A</v>
      </c>
      <c r="D141" t="e">
        <f>VLOOKUP(DATA!K134,TOPICALAREAS!A$2:B$76,2,TRUE)</f>
        <v>#N/A</v>
      </c>
      <c r="E141" t="e">
        <f>VLOOKUP(DATA!L134,TOPICALAREAS!A$2:B$76,2,TRUE)</f>
        <v>#N/A</v>
      </c>
      <c r="F141" t="e">
        <f>VLOOKUP(DATA!M134,TOPICALAREAS!A141:B215,2,TRUE)</f>
        <v>#N/A</v>
      </c>
    </row>
    <row r="142" spans="1:6" x14ac:dyDescent="0.25">
      <c r="A142">
        <f>DATA!G135</f>
        <v>0</v>
      </c>
      <c r="B142" t="e">
        <f>VLOOKUP(DATA!I135,TOPICALAREAS!A$2:B$76,2,TRUE)</f>
        <v>#N/A</v>
      </c>
      <c r="C142" t="e">
        <f>VLOOKUP(DATA!J135,TOPICALAREAS!A$2:B$76,2,TRUE)</f>
        <v>#N/A</v>
      </c>
      <c r="D142" t="e">
        <f>VLOOKUP(DATA!K135,TOPICALAREAS!A$2:B$76,2,TRUE)</f>
        <v>#N/A</v>
      </c>
      <c r="E142" t="e">
        <f>VLOOKUP(DATA!L135,TOPICALAREAS!A$2:B$76,2,TRUE)</f>
        <v>#N/A</v>
      </c>
      <c r="F142" t="e">
        <f>VLOOKUP(DATA!M135,TOPICALAREAS!A$2:B$76,2,TRUE)</f>
        <v>#N/A</v>
      </c>
    </row>
    <row r="143" spans="1:6" x14ac:dyDescent="0.25">
      <c r="A143">
        <f>DATA!G136</f>
        <v>0</v>
      </c>
      <c r="B143" t="e">
        <f>VLOOKUP(DATA!I136,TOPICALAREAS!A$2:B$76,2,TRUE)</f>
        <v>#N/A</v>
      </c>
      <c r="C143" t="e">
        <f>VLOOKUP(DATA!J136,TOPICALAREAS!A$2:B$76,2,TRUE)</f>
        <v>#N/A</v>
      </c>
      <c r="D143" t="e">
        <f>VLOOKUP(DATA!K136,TOPICALAREAS!A$2:B$76,2,TRUE)</f>
        <v>#N/A</v>
      </c>
      <c r="E143" t="e">
        <f>VLOOKUP(DATA!L136,TOPICALAREAS!A$2:B$76,2,TRUE)</f>
        <v>#N/A</v>
      </c>
      <c r="F143" t="e">
        <f>VLOOKUP(DATA!M136,TOPICALAREAS!A143:B217,2,TRUE)</f>
        <v>#N/A</v>
      </c>
    </row>
    <row r="144" spans="1:6" x14ac:dyDescent="0.25">
      <c r="A144">
        <f>DATA!G137</f>
        <v>0</v>
      </c>
      <c r="B144" t="e">
        <f>VLOOKUP(DATA!I137,TOPICALAREAS!A$2:B$76,2,TRUE)</f>
        <v>#N/A</v>
      </c>
      <c r="C144" t="e">
        <f>VLOOKUP(DATA!J137,TOPICALAREAS!A$2:B$76,2,TRUE)</f>
        <v>#N/A</v>
      </c>
      <c r="D144" t="e">
        <f>VLOOKUP(DATA!K137,TOPICALAREAS!A$2:B$76,2,TRUE)</f>
        <v>#N/A</v>
      </c>
      <c r="E144" t="e">
        <f>VLOOKUP(DATA!L137,TOPICALAREAS!A$2:B$76,2,TRUE)</f>
        <v>#N/A</v>
      </c>
      <c r="F144" t="e">
        <f>VLOOKUP(DATA!M137,TOPICALAREAS!A$2:B$76,2,TRUE)</f>
        <v>#N/A</v>
      </c>
    </row>
    <row r="145" spans="1:6" x14ac:dyDescent="0.25">
      <c r="A145">
        <f>DATA!G138</f>
        <v>0</v>
      </c>
      <c r="B145" t="e">
        <f>VLOOKUP(DATA!I138,TOPICALAREAS!A$2:B$76,2,TRUE)</f>
        <v>#N/A</v>
      </c>
      <c r="C145" t="e">
        <f>VLOOKUP(DATA!J138,TOPICALAREAS!A$2:B$76,2,TRUE)</f>
        <v>#N/A</v>
      </c>
      <c r="D145" t="e">
        <f>VLOOKUP(DATA!K138,TOPICALAREAS!A$2:B$76,2,TRUE)</f>
        <v>#N/A</v>
      </c>
      <c r="E145" t="e">
        <f>VLOOKUP(DATA!L138,TOPICALAREAS!A$2:B$76,2,TRUE)</f>
        <v>#N/A</v>
      </c>
      <c r="F145" t="e">
        <f>VLOOKUP(DATA!M138,TOPICALAREAS!A145:B219,2,TRUE)</f>
        <v>#N/A</v>
      </c>
    </row>
    <row r="146" spans="1:6" x14ac:dyDescent="0.25">
      <c r="A146">
        <f>DATA!G139</f>
        <v>0</v>
      </c>
      <c r="B146" t="e">
        <f>VLOOKUP(DATA!I139,TOPICALAREAS!A$2:B$76,2,TRUE)</f>
        <v>#N/A</v>
      </c>
      <c r="C146" t="e">
        <f>VLOOKUP(DATA!J139,TOPICALAREAS!A$2:B$76,2,TRUE)</f>
        <v>#N/A</v>
      </c>
      <c r="D146" t="e">
        <f>VLOOKUP(DATA!K139,TOPICALAREAS!A$2:B$76,2,TRUE)</f>
        <v>#N/A</v>
      </c>
      <c r="E146" t="e">
        <f>VLOOKUP(DATA!L139,TOPICALAREAS!A$2:B$76,2,TRUE)</f>
        <v>#N/A</v>
      </c>
      <c r="F146" t="e">
        <f>VLOOKUP(DATA!M139,TOPICALAREAS!A$2:B$76,2,TRUE)</f>
        <v>#N/A</v>
      </c>
    </row>
    <row r="147" spans="1:6" x14ac:dyDescent="0.25">
      <c r="A147">
        <f>DATA!G140</f>
        <v>0</v>
      </c>
      <c r="B147" t="e">
        <f>VLOOKUP(DATA!I140,TOPICALAREAS!A$2:B$76,2,TRUE)</f>
        <v>#N/A</v>
      </c>
      <c r="C147" t="e">
        <f>VLOOKUP(DATA!J140,TOPICALAREAS!A$2:B$76,2,TRUE)</f>
        <v>#N/A</v>
      </c>
      <c r="D147" t="e">
        <f>VLOOKUP(DATA!K140,TOPICALAREAS!A$2:B$76,2,TRUE)</f>
        <v>#N/A</v>
      </c>
      <c r="E147" t="e">
        <f>VLOOKUP(DATA!L140,TOPICALAREAS!A$2:B$76,2,TRUE)</f>
        <v>#N/A</v>
      </c>
      <c r="F147" t="e">
        <f>VLOOKUP(DATA!M140,TOPICALAREAS!A147:B221,2,TRUE)</f>
        <v>#N/A</v>
      </c>
    </row>
    <row r="148" spans="1:6" x14ac:dyDescent="0.25">
      <c r="A148">
        <f>DATA!G141</f>
        <v>0</v>
      </c>
      <c r="B148" t="e">
        <f>VLOOKUP(DATA!I141,TOPICALAREAS!A$2:B$76,2,TRUE)</f>
        <v>#N/A</v>
      </c>
      <c r="C148" t="e">
        <f>VLOOKUP(DATA!J141,TOPICALAREAS!A$2:B$76,2,TRUE)</f>
        <v>#N/A</v>
      </c>
      <c r="D148" t="e">
        <f>VLOOKUP(DATA!K141,TOPICALAREAS!A$2:B$76,2,TRUE)</f>
        <v>#N/A</v>
      </c>
      <c r="E148" t="e">
        <f>VLOOKUP(DATA!L141,TOPICALAREAS!A$2:B$76,2,TRUE)</f>
        <v>#N/A</v>
      </c>
      <c r="F148" t="e">
        <f>VLOOKUP(DATA!M141,TOPICALAREAS!A$2:B$76,2,TRUE)</f>
        <v>#N/A</v>
      </c>
    </row>
    <row r="149" spans="1:6" x14ac:dyDescent="0.25">
      <c r="A149">
        <f>DATA!G142</f>
        <v>0</v>
      </c>
      <c r="B149" t="e">
        <f>VLOOKUP(DATA!I142,TOPICALAREAS!A$2:B$76,2,TRUE)</f>
        <v>#N/A</v>
      </c>
      <c r="C149" t="e">
        <f>VLOOKUP(DATA!J142,TOPICALAREAS!A$2:B$76,2,TRUE)</f>
        <v>#N/A</v>
      </c>
      <c r="D149" t="e">
        <f>VLOOKUP(DATA!K142,TOPICALAREAS!A$2:B$76,2,TRUE)</f>
        <v>#N/A</v>
      </c>
      <c r="E149" t="e">
        <f>VLOOKUP(DATA!L142,TOPICALAREAS!A$2:B$76,2,TRUE)</f>
        <v>#N/A</v>
      </c>
      <c r="F149" t="e">
        <f>VLOOKUP(DATA!M142,TOPICALAREAS!A149:B223,2,TRUE)</f>
        <v>#N/A</v>
      </c>
    </row>
    <row r="150" spans="1:6" x14ac:dyDescent="0.25">
      <c r="A150">
        <f>DATA!G143</f>
        <v>0</v>
      </c>
      <c r="B150" t="e">
        <f>VLOOKUP(DATA!I143,TOPICALAREAS!A$2:B$76,2,TRUE)</f>
        <v>#N/A</v>
      </c>
      <c r="C150" t="e">
        <f>VLOOKUP(DATA!J143,TOPICALAREAS!A$2:B$76,2,TRUE)</f>
        <v>#N/A</v>
      </c>
      <c r="D150" t="e">
        <f>VLOOKUP(DATA!K143,TOPICALAREAS!A$2:B$76,2,TRUE)</f>
        <v>#N/A</v>
      </c>
      <c r="E150" t="e">
        <f>VLOOKUP(DATA!L143,TOPICALAREAS!A$2:B$76,2,TRUE)</f>
        <v>#N/A</v>
      </c>
      <c r="F150" t="e">
        <f>VLOOKUP(DATA!M143,TOPICALAREAS!A$2:B$76,2,TRUE)</f>
        <v>#N/A</v>
      </c>
    </row>
    <row r="151" spans="1:6" x14ac:dyDescent="0.25">
      <c r="A151">
        <f>DATA!G144</f>
        <v>0</v>
      </c>
      <c r="B151" t="e">
        <f>VLOOKUP(DATA!I144,TOPICALAREAS!A$2:B$76,2,TRUE)</f>
        <v>#N/A</v>
      </c>
      <c r="C151" t="e">
        <f>VLOOKUP(DATA!J144,TOPICALAREAS!A$2:B$76,2,TRUE)</f>
        <v>#N/A</v>
      </c>
      <c r="D151" t="e">
        <f>VLOOKUP(DATA!K144,TOPICALAREAS!A$2:B$76,2,TRUE)</f>
        <v>#N/A</v>
      </c>
      <c r="E151" t="e">
        <f>VLOOKUP(DATA!L144,TOPICALAREAS!A$2:B$76,2,TRUE)</f>
        <v>#N/A</v>
      </c>
      <c r="F151" t="e">
        <f>VLOOKUP(DATA!M144,TOPICALAREAS!A151:B225,2,TRUE)</f>
        <v>#N/A</v>
      </c>
    </row>
    <row r="152" spans="1:6" x14ac:dyDescent="0.25">
      <c r="A152">
        <f>DATA!G145</f>
        <v>0</v>
      </c>
      <c r="B152" t="e">
        <f>VLOOKUP(DATA!I145,TOPICALAREAS!A$2:B$76,2,TRUE)</f>
        <v>#N/A</v>
      </c>
      <c r="C152" t="e">
        <f>VLOOKUP(DATA!J145,TOPICALAREAS!A$2:B$76,2,TRUE)</f>
        <v>#N/A</v>
      </c>
      <c r="D152" t="e">
        <f>VLOOKUP(DATA!K145,TOPICALAREAS!A$2:B$76,2,TRUE)</f>
        <v>#N/A</v>
      </c>
      <c r="E152" t="e">
        <f>VLOOKUP(DATA!L145,TOPICALAREAS!A$2:B$76,2,TRUE)</f>
        <v>#N/A</v>
      </c>
      <c r="F152" t="e">
        <f>VLOOKUP(DATA!M145,TOPICALAREAS!A$2:B$76,2,TRUE)</f>
        <v>#N/A</v>
      </c>
    </row>
    <row r="153" spans="1:6" x14ac:dyDescent="0.25">
      <c r="A153" t="e">
        <f>DATA!#REF!</f>
        <v>#REF!</v>
      </c>
      <c r="B153" t="e">
        <f>VLOOKUP(DATA!#REF!,TOPICALAREAS!A$2:B$76,2,TRUE)</f>
        <v>#REF!</v>
      </c>
      <c r="C153" t="e">
        <f>VLOOKUP(DATA!#REF!,TOPICALAREAS!A$2:B$76,2,TRUE)</f>
        <v>#REF!</v>
      </c>
      <c r="D153" t="e">
        <f>VLOOKUP(DATA!#REF!,TOPICALAREAS!A$2:B$76,2,TRUE)</f>
        <v>#REF!</v>
      </c>
      <c r="E153" t="e">
        <f>VLOOKUP(DATA!#REF!,TOPICALAREAS!A$2:B$76,2,TRUE)</f>
        <v>#REF!</v>
      </c>
      <c r="F153" t="e">
        <f>VLOOKUP(DATA!#REF!,TOPICALAREAS!A153:B227,2,TRUE)</f>
        <v>#REF!</v>
      </c>
    </row>
    <row r="154" spans="1:6" x14ac:dyDescent="0.25">
      <c r="A154" t="e">
        <f>DATA!#REF!</f>
        <v>#REF!</v>
      </c>
      <c r="B154" t="e">
        <f>VLOOKUP(DATA!#REF!,TOPICALAREAS!A$2:B$76,2,TRUE)</f>
        <v>#REF!</v>
      </c>
      <c r="C154" t="e">
        <f>VLOOKUP(DATA!#REF!,TOPICALAREAS!A$2:B$76,2,TRUE)</f>
        <v>#REF!</v>
      </c>
      <c r="D154" t="e">
        <f>VLOOKUP(DATA!#REF!,TOPICALAREAS!A$2:B$76,2,TRUE)</f>
        <v>#REF!</v>
      </c>
      <c r="E154" t="e">
        <f>VLOOKUP(DATA!#REF!,TOPICALAREAS!A$2:B$76,2,TRUE)</f>
        <v>#REF!</v>
      </c>
      <c r="F154" t="e">
        <f>VLOOKUP(DATA!#REF!,TOPICALAREAS!A$2:B$76,2,TRUE)</f>
        <v>#REF!</v>
      </c>
    </row>
    <row r="155" spans="1:6" x14ac:dyDescent="0.25">
      <c r="A155" t="e">
        <f>DATA!#REF!</f>
        <v>#REF!</v>
      </c>
      <c r="B155" t="e">
        <f>VLOOKUP(DATA!#REF!,TOPICALAREAS!A$2:B$76,2,TRUE)</f>
        <v>#REF!</v>
      </c>
      <c r="C155" t="e">
        <f>VLOOKUP(DATA!#REF!,TOPICALAREAS!A$2:B$76,2,TRUE)</f>
        <v>#REF!</v>
      </c>
      <c r="D155" t="e">
        <f>VLOOKUP(DATA!#REF!,TOPICALAREAS!A$2:B$76,2,TRUE)</f>
        <v>#REF!</v>
      </c>
      <c r="E155" t="e">
        <f>VLOOKUP(DATA!#REF!,TOPICALAREAS!A$2:B$76,2,TRUE)</f>
        <v>#REF!</v>
      </c>
      <c r="F155" t="e">
        <f>VLOOKUP(DATA!#REF!,TOPICALAREAS!A155:B229,2,TRUE)</f>
        <v>#REF!</v>
      </c>
    </row>
    <row r="156" spans="1:6" x14ac:dyDescent="0.25">
      <c r="A156">
        <f>DATA!G146</f>
        <v>0</v>
      </c>
      <c r="B156" t="e">
        <f>VLOOKUP(DATA!I146,TOPICALAREAS!A$2:B$76,2,TRUE)</f>
        <v>#N/A</v>
      </c>
      <c r="C156" t="e">
        <f>VLOOKUP(DATA!J146,TOPICALAREAS!A$2:B$76,2,TRUE)</f>
        <v>#N/A</v>
      </c>
      <c r="D156" t="e">
        <f>VLOOKUP(DATA!K146,TOPICALAREAS!A$2:B$76,2,TRUE)</f>
        <v>#N/A</v>
      </c>
      <c r="E156" t="e">
        <f>VLOOKUP(DATA!L146,TOPICALAREAS!A$2:B$76,2,TRUE)</f>
        <v>#N/A</v>
      </c>
      <c r="F156" t="e">
        <f>VLOOKUP(DATA!M146,TOPICALAREAS!A$2:B$76,2,TRUE)</f>
        <v>#N/A</v>
      </c>
    </row>
    <row r="157" spans="1:6" x14ac:dyDescent="0.25">
      <c r="A157">
        <f>DATA!G147</f>
        <v>0</v>
      </c>
      <c r="B157" t="e">
        <f>VLOOKUP(DATA!I147,TOPICALAREAS!A$2:B$76,2,TRUE)</f>
        <v>#N/A</v>
      </c>
      <c r="C157" t="e">
        <f>VLOOKUP(DATA!J147,TOPICALAREAS!A$2:B$76,2,TRUE)</f>
        <v>#N/A</v>
      </c>
      <c r="D157" t="e">
        <f>VLOOKUP(DATA!K147,TOPICALAREAS!A$2:B$76,2,TRUE)</f>
        <v>#N/A</v>
      </c>
      <c r="E157" t="e">
        <f>VLOOKUP(DATA!L147,TOPICALAREAS!A$2:B$76,2,TRUE)</f>
        <v>#N/A</v>
      </c>
      <c r="F157" t="e">
        <f>VLOOKUP(DATA!M147,TOPICALAREAS!A157:B231,2,TRUE)</f>
        <v>#N/A</v>
      </c>
    </row>
    <row r="158" spans="1:6" x14ac:dyDescent="0.25">
      <c r="A158" t="e">
        <f>DATA!#REF!</f>
        <v>#REF!</v>
      </c>
      <c r="B158" t="e">
        <f>VLOOKUP(DATA!#REF!,TOPICALAREAS!A$2:B$76,2,TRUE)</f>
        <v>#REF!</v>
      </c>
      <c r="C158" t="e">
        <f>VLOOKUP(DATA!#REF!,TOPICALAREAS!A$2:B$76,2,TRUE)</f>
        <v>#REF!</v>
      </c>
      <c r="D158" t="e">
        <f>VLOOKUP(DATA!#REF!,TOPICALAREAS!A$2:B$76,2,TRUE)</f>
        <v>#REF!</v>
      </c>
      <c r="E158" t="e">
        <f>VLOOKUP(DATA!#REF!,TOPICALAREAS!A$2:B$76,2,TRUE)</f>
        <v>#REF!</v>
      </c>
      <c r="F158" t="e">
        <f>VLOOKUP(DATA!#REF!,TOPICALAREAS!A$2:B$76,2,TRUE)</f>
        <v>#REF!</v>
      </c>
    </row>
    <row r="159" spans="1:6" x14ac:dyDescent="0.25">
      <c r="A159">
        <f>DATA!G148</f>
        <v>0</v>
      </c>
      <c r="B159" t="e">
        <f>VLOOKUP(DATA!I148,TOPICALAREAS!A$2:B$76,2,TRUE)</f>
        <v>#N/A</v>
      </c>
      <c r="C159" t="e">
        <f>VLOOKUP(DATA!J148,TOPICALAREAS!A$2:B$76,2,TRUE)</f>
        <v>#N/A</v>
      </c>
      <c r="D159" t="e">
        <f>VLOOKUP(DATA!K148,TOPICALAREAS!A$2:B$76,2,TRUE)</f>
        <v>#N/A</v>
      </c>
      <c r="E159" t="e">
        <f>VLOOKUP(DATA!L148,TOPICALAREAS!A$2:B$76,2,TRUE)</f>
        <v>#N/A</v>
      </c>
      <c r="F159" t="e">
        <f>VLOOKUP(DATA!M148,TOPICALAREAS!A159:B233,2,TRUE)</f>
        <v>#N/A</v>
      </c>
    </row>
    <row r="160" spans="1:6" x14ac:dyDescent="0.25">
      <c r="A160" t="e">
        <f>DATA!#REF!</f>
        <v>#REF!</v>
      </c>
      <c r="B160" t="e">
        <f>VLOOKUP(DATA!#REF!,TOPICALAREAS!A$2:B$76,2,TRUE)</f>
        <v>#REF!</v>
      </c>
      <c r="C160" t="e">
        <f>VLOOKUP(DATA!#REF!,TOPICALAREAS!A$2:B$76,2,TRUE)</f>
        <v>#REF!</v>
      </c>
      <c r="D160" t="e">
        <f>VLOOKUP(DATA!#REF!,TOPICALAREAS!A$2:B$76,2,TRUE)</f>
        <v>#REF!</v>
      </c>
      <c r="E160" t="e">
        <f>VLOOKUP(DATA!#REF!,TOPICALAREAS!A$2:B$76,2,TRUE)</f>
        <v>#REF!</v>
      </c>
      <c r="F160" t="e">
        <f>VLOOKUP(DATA!#REF!,TOPICALAREAS!A$2:B$76,2,TRUE)</f>
        <v>#REF!</v>
      </c>
    </row>
    <row r="161" spans="1:6" x14ac:dyDescent="0.25">
      <c r="A161" t="e">
        <f>DATA!#REF!</f>
        <v>#REF!</v>
      </c>
      <c r="B161" t="e">
        <f>VLOOKUP(DATA!#REF!,TOPICALAREAS!A$2:B$76,2,TRUE)</f>
        <v>#REF!</v>
      </c>
      <c r="C161" t="e">
        <f>VLOOKUP(DATA!#REF!,TOPICALAREAS!A$2:B$76,2,TRUE)</f>
        <v>#REF!</v>
      </c>
      <c r="D161" t="e">
        <f>VLOOKUP(DATA!#REF!,TOPICALAREAS!A$2:B$76,2,TRUE)</f>
        <v>#REF!</v>
      </c>
      <c r="E161" t="e">
        <f>VLOOKUP(DATA!#REF!,TOPICALAREAS!A$2:B$76,2,TRUE)</f>
        <v>#REF!</v>
      </c>
      <c r="F161" t="e">
        <f>VLOOKUP(DATA!#REF!,TOPICALAREAS!A161:B235,2,TRUE)</f>
        <v>#REF!</v>
      </c>
    </row>
    <row r="162" spans="1:6" x14ac:dyDescent="0.25">
      <c r="A162" t="e">
        <f>DATA!#REF!</f>
        <v>#REF!</v>
      </c>
      <c r="B162" t="e">
        <f>VLOOKUP(DATA!#REF!,TOPICALAREAS!A$2:B$76,2,TRUE)</f>
        <v>#REF!</v>
      </c>
      <c r="C162" t="e">
        <f>VLOOKUP(DATA!#REF!,TOPICALAREAS!A$2:B$76,2,TRUE)</f>
        <v>#REF!</v>
      </c>
      <c r="D162" t="e">
        <f>VLOOKUP(DATA!#REF!,TOPICALAREAS!A$2:B$76,2,TRUE)</f>
        <v>#REF!</v>
      </c>
      <c r="E162" t="e">
        <f>VLOOKUP(DATA!#REF!,TOPICALAREAS!A$2:B$76,2,TRUE)</f>
        <v>#REF!</v>
      </c>
      <c r="F162" t="e">
        <f>VLOOKUP(DATA!#REF!,TOPICALAREAS!A$2:B$76,2,TRUE)</f>
        <v>#REF!</v>
      </c>
    </row>
    <row r="163" spans="1:6" x14ac:dyDescent="0.25">
      <c r="A163">
        <f>DATA!G149</f>
        <v>0</v>
      </c>
      <c r="B163" t="e">
        <f>VLOOKUP(DATA!I149,TOPICALAREAS!A$2:B$76,2,TRUE)</f>
        <v>#N/A</v>
      </c>
      <c r="C163" t="e">
        <f>VLOOKUP(DATA!J149,TOPICALAREAS!A$2:B$76,2,TRUE)</f>
        <v>#N/A</v>
      </c>
      <c r="D163" t="e">
        <f>VLOOKUP(DATA!K149,TOPICALAREAS!A$2:B$76,2,TRUE)</f>
        <v>#N/A</v>
      </c>
      <c r="E163" t="e">
        <f>VLOOKUP(DATA!L149,TOPICALAREAS!A$2:B$76,2,TRUE)</f>
        <v>#N/A</v>
      </c>
      <c r="F163" t="e">
        <f>VLOOKUP(DATA!M149,TOPICALAREAS!A163:B237,2,TRUE)</f>
        <v>#N/A</v>
      </c>
    </row>
    <row r="164" spans="1:6" x14ac:dyDescent="0.25">
      <c r="A164">
        <f>DATA!G150</f>
        <v>0</v>
      </c>
      <c r="B164" t="e">
        <f>VLOOKUP(DATA!I150,TOPICALAREAS!A$2:B$76,2,TRUE)</f>
        <v>#N/A</v>
      </c>
      <c r="C164" t="e">
        <f>VLOOKUP(DATA!J150,TOPICALAREAS!A$2:B$76,2,TRUE)</f>
        <v>#N/A</v>
      </c>
      <c r="D164" t="e">
        <f>VLOOKUP(DATA!K150,TOPICALAREAS!A$2:B$76,2,TRUE)</f>
        <v>#N/A</v>
      </c>
      <c r="E164" t="e">
        <f>VLOOKUP(DATA!L150,TOPICALAREAS!A$2:B$76,2,TRUE)</f>
        <v>#N/A</v>
      </c>
      <c r="F164" t="e">
        <f>VLOOKUP(DATA!M150,TOPICALAREAS!A$2:B$76,2,TRUE)</f>
        <v>#N/A</v>
      </c>
    </row>
    <row r="165" spans="1:6" x14ac:dyDescent="0.25">
      <c r="A165">
        <f>DATA!G151</f>
        <v>0</v>
      </c>
      <c r="B165" t="e">
        <f>VLOOKUP(DATA!I151,TOPICALAREAS!A$2:B$76,2,TRUE)</f>
        <v>#N/A</v>
      </c>
      <c r="C165" t="e">
        <f>VLOOKUP(DATA!J151,TOPICALAREAS!A$2:B$76,2,TRUE)</f>
        <v>#N/A</v>
      </c>
      <c r="D165" t="e">
        <f>VLOOKUP(DATA!K151,TOPICALAREAS!A$2:B$76,2,TRUE)</f>
        <v>#N/A</v>
      </c>
      <c r="E165" t="e">
        <f>VLOOKUP(DATA!L151,TOPICALAREAS!A$2:B$76,2,TRUE)</f>
        <v>#N/A</v>
      </c>
      <c r="F165" t="e">
        <f>VLOOKUP(DATA!M151,TOPICALAREAS!A165:B239,2,TRUE)</f>
        <v>#N/A</v>
      </c>
    </row>
    <row r="166" spans="1:6" x14ac:dyDescent="0.25">
      <c r="A166">
        <f>DATA!G152</f>
        <v>0</v>
      </c>
      <c r="B166" t="e">
        <f>VLOOKUP(DATA!I152,TOPICALAREAS!A$2:B$76,2,TRUE)</f>
        <v>#N/A</v>
      </c>
      <c r="C166" t="e">
        <f>VLOOKUP(DATA!J152,TOPICALAREAS!A$2:B$76,2,TRUE)</f>
        <v>#N/A</v>
      </c>
      <c r="D166" t="e">
        <f>VLOOKUP(DATA!K152,TOPICALAREAS!A$2:B$76,2,TRUE)</f>
        <v>#N/A</v>
      </c>
      <c r="E166" t="e">
        <f>VLOOKUP(DATA!L152,TOPICALAREAS!A$2:B$76,2,TRUE)</f>
        <v>#N/A</v>
      </c>
      <c r="F166" t="e">
        <f>VLOOKUP(DATA!M152,TOPICALAREAS!A$2:B$76,2,TRUE)</f>
        <v>#N/A</v>
      </c>
    </row>
    <row r="167" spans="1:6" x14ac:dyDescent="0.25">
      <c r="A167">
        <f>DATA!G153</f>
        <v>0</v>
      </c>
      <c r="B167" t="e">
        <f>VLOOKUP(DATA!I153,TOPICALAREAS!A$2:B$76,2,TRUE)</f>
        <v>#N/A</v>
      </c>
      <c r="C167" t="e">
        <f>VLOOKUP(DATA!J153,TOPICALAREAS!A$2:B$76,2,TRUE)</f>
        <v>#N/A</v>
      </c>
      <c r="D167" t="e">
        <f>VLOOKUP(DATA!K153,TOPICALAREAS!A$2:B$76,2,TRUE)</f>
        <v>#N/A</v>
      </c>
      <c r="E167" t="e">
        <f>VLOOKUP(DATA!L153,TOPICALAREAS!A$2:B$76,2,TRUE)</f>
        <v>#N/A</v>
      </c>
      <c r="F167" t="e">
        <f>VLOOKUP(DATA!M153,TOPICALAREAS!A167:B241,2,TRUE)</f>
        <v>#N/A</v>
      </c>
    </row>
    <row r="168" spans="1:6" x14ac:dyDescent="0.25">
      <c r="A168" t="e">
        <f>DATA!#REF!</f>
        <v>#REF!</v>
      </c>
      <c r="B168" t="e">
        <f>VLOOKUP(DATA!#REF!,TOPICALAREAS!A$2:B$76,2,TRUE)</f>
        <v>#REF!</v>
      </c>
      <c r="C168" t="e">
        <f>VLOOKUP(DATA!#REF!,TOPICALAREAS!A$2:B$76,2,TRUE)</f>
        <v>#REF!</v>
      </c>
      <c r="D168" t="e">
        <f>VLOOKUP(DATA!#REF!,TOPICALAREAS!A$2:B$76,2,TRUE)</f>
        <v>#REF!</v>
      </c>
      <c r="E168" t="e">
        <f>VLOOKUP(DATA!#REF!,TOPICALAREAS!A$2:B$76,2,TRUE)</f>
        <v>#REF!</v>
      </c>
      <c r="F168" t="e">
        <f>VLOOKUP(DATA!#REF!,TOPICALAREAS!A$2:B$76,2,TRUE)</f>
        <v>#REF!</v>
      </c>
    </row>
    <row r="169" spans="1:6" x14ac:dyDescent="0.25">
      <c r="A169">
        <f>DATA!G1000</f>
        <v>0</v>
      </c>
      <c r="B169" t="e">
        <f>VLOOKUP(DATA!I1000,TOPICALAREAS!A$2:B$76,2,TRUE)</f>
        <v>#N/A</v>
      </c>
      <c r="C169" t="e">
        <f>VLOOKUP(DATA!J1000,TOPICALAREAS!A$2:B$76,2,TRUE)</f>
        <v>#N/A</v>
      </c>
      <c r="D169" t="e">
        <f>VLOOKUP(DATA!K1000,TOPICALAREAS!A$2:B$76,2,TRUE)</f>
        <v>#N/A</v>
      </c>
      <c r="E169" t="e">
        <f>VLOOKUP(DATA!L1000,TOPICALAREAS!A$2:B$76,2,TRUE)</f>
        <v>#N/A</v>
      </c>
      <c r="F169" t="e">
        <f>VLOOKUP(DATA!M1000,TOPICALAREAS!A169:B243,2,TRUE)</f>
        <v>#N/A</v>
      </c>
    </row>
    <row r="170" spans="1:6" x14ac:dyDescent="0.25">
      <c r="A170">
        <f>DATA!G1001</f>
        <v>0</v>
      </c>
      <c r="B170" t="e">
        <f>VLOOKUP(DATA!I1001,TOPICALAREAS!A$2:B$76,2,TRUE)</f>
        <v>#N/A</v>
      </c>
      <c r="C170" t="e">
        <f>VLOOKUP(DATA!J1001,TOPICALAREAS!A$2:B$76,2,TRUE)</f>
        <v>#N/A</v>
      </c>
      <c r="D170" t="e">
        <f>VLOOKUP(DATA!K1001,TOPICALAREAS!A$2:B$76,2,TRUE)</f>
        <v>#N/A</v>
      </c>
      <c r="E170" t="e">
        <f>VLOOKUP(DATA!L1001,TOPICALAREAS!A$2:B$76,2,TRUE)</f>
        <v>#N/A</v>
      </c>
      <c r="F170" t="e">
        <f>VLOOKUP(DATA!M1001,TOPICALAREAS!A$2:B$76,2,TRUE)</f>
        <v>#N/A</v>
      </c>
    </row>
    <row r="171" spans="1:6" x14ac:dyDescent="0.25">
      <c r="A171">
        <f>DATA!G1002</f>
        <v>0</v>
      </c>
      <c r="B171" t="e">
        <f>VLOOKUP(DATA!I1002,TOPICALAREAS!A$2:B$76,2,TRUE)</f>
        <v>#N/A</v>
      </c>
      <c r="C171" t="e">
        <f>VLOOKUP(DATA!J1002,TOPICALAREAS!A$2:B$76,2,TRUE)</f>
        <v>#N/A</v>
      </c>
      <c r="D171" t="e">
        <f>VLOOKUP(DATA!K1002,TOPICALAREAS!A$2:B$76,2,TRUE)</f>
        <v>#N/A</v>
      </c>
      <c r="E171" t="e">
        <f>VLOOKUP(DATA!L1002,TOPICALAREAS!A$2:B$76,2,TRUE)</f>
        <v>#N/A</v>
      </c>
      <c r="F171" t="e">
        <f>VLOOKUP(DATA!M1002,TOPICALAREAS!A171:B245,2,TRUE)</f>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62"/>
  <sheetViews>
    <sheetView workbookViewId="0">
      <selection activeCell="A2" sqref="A2"/>
    </sheetView>
  </sheetViews>
  <sheetFormatPr defaultRowHeight="15" x14ac:dyDescent="0.25"/>
  <sheetData>
    <row r="2" spans="1:1" x14ac:dyDescent="0.25">
      <c r="A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 spans="1:1" x14ac:dyDescent="0.25">
      <c r="A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 spans="1:1" x14ac:dyDescent="0.25">
      <c r="A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 spans="1:1" x14ac:dyDescent="0.25">
      <c r="A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 spans="1:1" x14ac:dyDescent="0.25">
      <c r="A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7" spans="1:1" x14ac:dyDescent="0.25">
      <c r="A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8" spans="1:1" x14ac:dyDescent="0.25">
      <c r="A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9" spans="1:1" x14ac:dyDescent="0.25">
      <c r="A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0" spans="1:1" x14ac:dyDescent="0.25">
      <c r="A1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1" spans="1:1" x14ac:dyDescent="0.25">
      <c r="A1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2" spans="1:1" x14ac:dyDescent="0.25">
      <c r="A1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3" spans="1:1" x14ac:dyDescent="0.25">
      <c r="A1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4" spans="1:1" x14ac:dyDescent="0.25">
      <c r="A1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5" spans="1:1" x14ac:dyDescent="0.25">
      <c r="A1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6" spans="1:1" x14ac:dyDescent="0.25">
      <c r="A1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7" spans="1:1" x14ac:dyDescent="0.25">
      <c r="A1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8" spans="1:1" x14ac:dyDescent="0.25">
      <c r="A1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19" spans="1:1" x14ac:dyDescent="0.25">
      <c r="A1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0" spans="1:1" x14ac:dyDescent="0.25">
      <c r="A2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1" spans="1:1" x14ac:dyDescent="0.25">
      <c r="A2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2" spans="1:1" x14ac:dyDescent="0.25">
      <c r="A2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3" spans="1:1" x14ac:dyDescent="0.25">
      <c r="A2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4" spans="1:1" x14ac:dyDescent="0.25">
      <c r="A2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5" spans="1:1" x14ac:dyDescent="0.25">
      <c r="A2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6" spans="1:1" x14ac:dyDescent="0.25">
      <c r="A2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7" spans="1:1" x14ac:dyDescent="0.25">
      <c r="A2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8" spans="1:1" x14ac:dyDescent="0.25">
      <c r="A2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29" spans="1:1" x14ac:dyDescent="0.25">
      <c r="A2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0" spans="1:1" x14ac:dyDescent="0.25">
      <c r="A3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1" spans="1:1" x14ac:dyDescent="0.25">
      <c r="A3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2" spans="1:1" x14ac:dyDescent="0.25">
      <c r="A3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3" spans="1:1" x14ac:dyDescent="0.25">
      <c r="A3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4" spans="1:1" x14ac:dyDescent="0.25">
      <c r="A3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5" spans="1:1" x14ac:dyDescent="0.25">
      <c r="A3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6" spans="1:1" x14ac:dyDescent="0.25">
      <c r="A3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7" spans="1:1" x14ac:dyDescent="0.25">
      <c r="A3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8" spans="1:1" x14ac:dyDescent="0.25">
      <c r="A3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39" spans="1:1" x14ac:dyDescent="0.25">
      <c r="A3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0" spans="1:1" x14ac:dyDescent="0.25">
      <c r="A4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1" spans="1:1" x14ac:dyDescent="0.25">
      <c r="A4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2" spans="1:1" x14ac:dyDescent="0.25">
      <c r="A4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3" spans="1:1" x14ac:dyDescent="0.25">
      <c r="A4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4" spans="1:1" x14ac:dyDescent="0.25">
      <c r="A4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5" spans="1:1" x14ac:dyDescent="0.25">
      <c r="A4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6" spans="1:1" x14ac:dyDescent="0.25">
      <c r="A4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7" spans="1:1" x14ac:dyDescent="0.25">
      <c r="A4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8" spans="1:1" x14ac:dyDescent="0.25">
      <c r="A4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49" spans="1:1" x14ac:dyDescent="0.25">
      <c r="A4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0" spans="1:1" x14ac:dyDescent="0.25">
      <c r="A5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1" spans="1:1" x14ac:dyDescent="0.25">
      <c r="A5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2" spans="1:1" x14ac:dyDescent="0.25">
      <c r="A5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3" spans="1:1" x14ac:dyDescent="0.25">
      <c r="A53"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4" spans="1:1" x14ac:dyDescent="0.25">
      <c r="A54"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5" spans="1:1" x14ac:dyDescent="0.25">
      <c r="A55"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6" spans="1:1" x14ac:dyDescent="0.25">
      <c r="A56"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7" spans="1:1" x14ac:dyDescent="0.25">
      <c r="A57"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8" spans="1:1" x14ac:dyDescent="0.25">
      <c r="A58"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59" spans="1:1" x14ac:dyDescent="0.25">
      <c r="A59"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0" spans="1:1" x14ac:dyDescent="0.25">
      <c r="A60"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1" spans="1:1" x14ac:dyDescent="0.25">
      <c r="A61"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row r="62" spans="1:1" x14ac:dyDescent="0.25">
      <c r="A62" t="str">
        <f>CONCATENATE(Table1[[#This Row],[PROGRAM TITLE
50 character limit
(Required)]],CHAR(13),TEXT(Table1[CHECK DATE (Auto)],""),", ",TEXT((Table1[[#This Row],[DATE MM/DD/YYYY (Required)]]),"mmm.")," ",TEXT((Table1[[#This Row],[DATE MM/DD/YYYY (Required)]]), "d"),CHAR(13),TEXT((Table1[[#This Row],[START TIME HH:MM AM/PM (Required)]]),"h:mm AM/PM"),CHAR(13),TEXT(Table1[[#This Row],[DESCRIPTION
up to 600 characters
(Required)]],""),CHAR(13))</f>
        <v>_x000D_, Jan. 0_x000D_12:00 AM_x000D__x000D_</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7"/>
  <sheetViews>
    <sheetView workbookViewId="0">
      <selection activeCell="A6" sqref="A6"/>
    </sheetView>
  </sheetViews>
  <sheetFormatPr defaultRowHeight="15" x14ac:dyDescent="0.25"/>
  <sheetData>
    <row r="1" spans="1:4" x14ac:dyDescent="0.25">
      <c r="A1" s="2" t="s">
        <v>149</v>
      </c>
      <c r="B1" s="2" t="s">
        <v>400</v>
      </c>
      <c r="C1" s="2" t="s">
        <v>413</v>
      </c>
      <c r="D1" s="2" t="s">
        <v>401</v>
      </c>
    </row>
    <row r="2" spans="1:4" x14ac:dyDescent="0.25">
      <c r="A2" t="s">
        <v>92</v>
      </c>
      <c r="B2" t="s">
        <v>303</v>
      </c>
      <c r="C2" t="s">
        <v>414</v>
      </c>
      <c r="D2" t="s">
        <v>402</v>
      </c>
    </row>
    <row r="3" spans="1:4" x14ac:dyDescent="0.25">
      <c r="A3" t="s">
        <v>94</v>
      </c>
      <c r="B3" t="s">
        <v>19</v>
      </c>
      <c r="C3" t="s">
        <v>415</v>
      </c>
      <c r="D3" t="s">
        <v>428</v>
      </c>
    </row>
    <row r="4" spans="1:4" x14ac:dyDescent="0.25">
      <c r="A4" t="s">
        <v>96</v>
      </c>
      <c r="B4" t="s">
        <v>403</v>
      </c>
      <c r="C4" t="s">
        <v>416</v>
      </c>
      <c r="D4" t="s">
        <v>427</v>
      </c>
    </row>
    <row r="5" spans="1:4" x14ac:dyDescent="0.25">
      <c r="A5" t="s">
        <v>98</v>
      </c>
      <c r="B5" t="s">
        <v>404</v>
      </c>
      <c r="C5" t="s">
        <v>417</v>
      </c>
    </row>
    <row r="6" spans="1:4" x14ac:dyDescent="0.25">
      <c r="A6" t="s">
        <v>100</v>
      </c>
      <c r="C6" t="s">
        <v>418</v>
      </c>
    </row>
    <row r="7" spans="1:4" x14ac:dyDescent="0.25">
      <c r="C7" t="s">
        <v>419</v>
      </c>
    </row>
    <row r="8" spans="1:4" x14ac:dyDescent="0.25">
      <c r="A8" t="s">
        <v>102</v>
      </c>
      <c r="C8" t="s">
        <v>420</v>
      </c>
    </row>
    <row r="9" spans="1:4" x14ac:dyDescent="0.25">
      <c r="A9" t="s">
        <v>104</v>
      </c>
      <c r="C9" t="s">
        <v>421</v>
      </c>
    </row>
    <row r="10" spans="1:4" x14ac:dyDescent="0.25">
      <c r="A10" t="s">
        <v>106</v>
      </c>
      <c r="C10" t="s">
        <v>422</v>
      </c>
    </row>
    <row r="11" spans="1:4" x14ac:dyDescent="0.25">
      <c r="A11" t="s">
        <v>108</v>
      </c>
      <c r="C11" t="s">
        <v>423</v>
      </c>
    </row>
    <row r="12" spans="1:4" x14ac:dyDescent="0.25">
      <c r="A12" t="s">
        <v>110</v>
      </c>
      <c r="C12" t="s">
        <v>424</v>
      </c>
    </row>
    <row r="13" spans="1:4" x14ac:dyDescent="0.25">
      <c r="A13" t="s">
        <v>112</v>
      </c>
      <c r="C13" t="s">
        <v>425</v>
      </c>
    </row>
    <row r="14" spans="1:4" x14ac:dyDescent="0.25">
      <c r="A14" t="s">
        <v>114</v>
      </c>
    </row>
    <row r="15" spans="1:4" x14ac:dyDescent="0.25">
      <c r="A15" t="s">
        <v>116</v>
      </c>
    </row>
    <row r="16" spans="1:4" x14ac:dyDescent="0.25">
      <c r="A16" t="s">
        <v>118</v>
      </c>
    </row>
    <row r="19" spans="1:1" x14ac:dyDescent="0.25">
      <c r="A19" t="s">
        <v>120</v>
      </c>
    </row>
    <row r="20" spans="1:1" x14ac:dyDescent="0.25">
      <c r="A20" t="s">
        <v>122</v>
      </c>
    </row>
    <row r="21" spans="1:1" x14ac:dyDescent="0.25">
      <c r="A21" t="s">
        <v>63</v>
      </c>
    </row>
    <row r="23" spans="1:1" x14ac:dyDescent="0.25">
      <c r="A23" t="s">
        <v>125</v>
      </c>
    </row>
    <row r="25" spans="1:1" x14ac:dyDescent="0.25">
      <c r="A25" t="s">
        <v>127</v>
      </c>
    </row>
    <row r="26" spans="1:1" x14ac:dyDescent="0.25">
      <c r="A26" t="s">
        <v>129</v>
      </c>
    </row>
    <row r="27" spans="1:1" x14ac:dyDescent="0.25">
      <c r="A27" t="s">
        <v>131</v>
      </c>
    </row>
    <row r="28" spans="1:1" x14ac:dyDescent="0.25">
      <c r="A28" t="s">
        <v>133</v>
      </c>
    </row>
    <row r="29" spans="1:1" x14ac:dyDescent="0.25">
      <c r="A29" t="s">
        <v>135</v>
      </c>
    </row>
    <row r="30" spans="1:1" x14ac:dyDescent="0.25">
      <c r="A30" t="s">
        <v>137</v>
      </c>
    </row>
    <row r="31" spans="1:1" x14ac:dyDescent="0.25">
      <c r="A31" t="s">
        <v>139</v>
      </c>
    </row>
    <row r="32" spans="1:1" x14ac:dyDescent="0.25">
      <c r="A32" t="s">
        <v>141</v>
      </c>
    </row>
    <row r="34" spans="1:1" x14ac:dyDescent="0.25">
      <c r="A34" t="s">
        <v>143</v>
      </c>
    </row>
    <row r="35" spans="1:1" x14ac:dyDescent="0.25">
      <c r="A35" t="s">
        <v>145</v>
      </c>
    </row>
    <row r="37" spans="1:1" x14ac:dyDescent="0.25">
      <c r="A37"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504"/>
  <sheetViews>
    <sheetView topLeftCell="A241" workbookViewId="0">
      <selection activeCell="A2" sqref="A2:A250"/>
    </sheetView>
  </sheetViews>
  <sheetFormatPr defaultRowHeight="15" x14ac:dyDescent="0.25"/>
  <sheetData>
    <row r="2" spans="1:1" x14ac:dyDescent="0.25">
      <c r="A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 spans="1:1" x14ac:dyDescent="0.25">
      <c r="A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 spans="1:1" x14ac:dyDescent="0.25">
      <c r="A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 spans="1:1" x14ac:dyDescent="0.25">
      <c r="A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 spans="1:1" x14ac:dyDescent="0.25">
      <c r="A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 spans="1:1" x14ac:dyDescent="0.25">
      <c r="A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 spans="1:1" x14ac:dyDescent="0.25">
      <c r="A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 spans="1:1" x14ac:dyDescent="0.25">
      <c r="A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 spans="1:1" x14ac:dyDescent="0.25">
      <c r="A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 spans="1:1" x14ac:dyDescent="0.25">
      <c r="A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 spans="1:1" x14ac:dyDescent="0.25">
      <c r="A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 spans="1:1" x14ac:dyDescent="0.25">
      <c r="A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 spans="1:1" x14ac:dyDescent="0.25">
      <c r="A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 spans="1:1" x14ac:dyDescent="0.25">
      <c r="A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 spans="1:1" x14ac:dyDescent="0.25">
      <c r="A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 spans="1:1" x14ac:dyDescent="0.25">
      <c r="A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 spans="1:1" x14ac:dyDescent="0.25">
      <c r="A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 spans="1:1" x14ac:dyDescent="0.25">
      <c r="A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 spans="1:1" x14ac:dyDescent="0.25">
      <c r="A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 spans="1:1" x14ac:dyDescent="0.25">
      <c r="A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 spans="1:1" x14ac:dyDescent="0.25">
      <c r="A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 spans="1:1" x14ac:dyDescent="0.25">
      <c r="A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 spans="1:1" x14ac:dyDescent="0.25">
      <c r="A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5" spans="1:1" x14ac:dyDescent="0.25">
      <c r="A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6" spans="1:1" x14ac:dyDescent="0.25">
      <c r="A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7" spans="1:1" x14ac:dyDescent="0.25">
      <c r="A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8" spans="1:1" x14ac:dyDescent="0.25">
      <c r="A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9" spans="1:1" x14ac:dyDescent="0.25">
      <c r="A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0" spans="1:1" x14ac:dyDescent="0.25">
      <c r="A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1" spans="1:1" x14ac:dyDescent="0.25">
      <c r="A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2" spans="1:1" x14ac:dyDescent="0.25">
      <c r="A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3" spans="1:1" x14ac:dyDescent="0.25">
      <c r="A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4" spans="1:1" x14ac:dyDescent="0.25">
      <c r="A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5" spans="1:1" x14ac:dyDescent="0.25">
      <c r="A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6" spans="1:1" x14ac:dyDescent="0.25">
      <c r="A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7" spans="1:1" x14ac:dyDescent="0.25">
      <c r="A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8" spans="1:1" x14ac:dyDescent="0.25">
      <c r="A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39" spans="1:1" x14ac:dyDescent="0.25">
      <c r="A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(Required)]],CHAR(13),"UID:",DATA!A39,,CHAR(13),IF(Table1[TopicalArea]="","",CONCATENATE(IFERROR(VLOOKUP(Table1[TopicalArea],TOPICALAREAS!A:C,3,FALSE),"LOOKUP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0" spans="1:1" x14ac:dyDescent="0.25">
      <c r="A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1" spans="1:1" x14ac:dyDescent="0.25">
      <c r="A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2" spans="1:1" x14ac:dyDescent="0.25">
      <c r="A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3" spans="1:1" x14ac:dyDescent="0.25">
      <c r="A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4" spans="1:1" x14ac:dyDescent="0.25">
      <c r="A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5" spans="1:1" x14ac:dyDescent="0.25">
      <c r="A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6" spans="1:1" x14ac:dyDescent="0.25">
      <c r="A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7" spans="1:1" x14ac:dyDescent="0.25">
      <c r="A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8" spans="1:1" x14ac:dyDescent="0.25">
      <c r="A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49" spans="1:1" x14ac:dyDescent="0.25">
      <c r="A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(Required)]],CHAR(13),"UID:",DATA!A49,,CHAR(13),IF(Table1[TopicalArea]="","",CONCATENATE(IFERROR(VLOOKUP(Table1[TopicalArea],TOPICALAREAS!A:C,3,FALSE),"LOOKUP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0" spans="1:1" x14ac:dyDescent="0.25">
      <c r="A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1" spans="1:1" x14ac:dyDescent="0.25">
      <c r="A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2" spans="1:1" x14ac:dyDescent="0.25">
      <c r="A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3" spans="1:1" x14ac:dyDescent="0.25">
      <c r="A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4" spans="1:1" x14ac:dyDescent="0.25">
      <c r="A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5" spans="1:1" x14ac:dyDescent="0.25">
      <c r="A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6" spans="1:1" x14ac:dyDescent="0.25">
      <c r="A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7" spans="1:1" x14ac:dyDescent="0.25">
      <c r="A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8" spans="1:1" x14ac:dyDescent="0.25">
      <c r="A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59" spans="1:1" x14ac:dyDescent="0.25">
      <c r="A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(Required)]],CHAR(13),"UID:",DATA!A59,,CHAR(13),IF(Table1[TopicalArea]="","",CONCATENATE(IFERROR(VLOOKUP(Table1[TopicalArea],TOPICALAREAS!A:C,3,FALSE),"LOOKUP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0" spans="1:1" x14ac:dyDescent="0.25">
      <c r="A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1" spans="1:1" x14ac:dyDescent="0.25">
      <c r="A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2" spans="1:1" x14ac:dyDescent="0.25">
      <c r="A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3" spans="1:1" x14ac:dyDescent="0.25">
      <c r="A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4" spans="1:1" x14ac:dyDescent="0.25">
      <c r="A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5" spans="1:1" x14ac:dyDescent="0.25">
      <c r="A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6" spans="1:1" x14ac:dyDescent="0.25">
      <c r="A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7" spans="1:1" x14ac:dyDescent="0.25">
      <c r="A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8" spans="1:1" x14ac:dyDescent="0.25">
      <c r="A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69" spans="1:1" x14ac:dyDescent="0.25">
      <c r="A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(Required)]],CHAR(13),"UID:",DATA!A69,,CHAR(13),IF(Table1[TopicalArea]="","",CONCATENATE(IFERROR(VLOOKUP(Table1[TopicalArea],TOPICALAREAS!A:C,3,FALSE),"LOOKUP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0" spans="1:1" x14ac:dyDescent="0.25">
      <c r="A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1" spans="1:1" x14ac:dyDescent="0.25">
      <c r="A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2" spans="1:1" x14ac:dyDescent="0.25">
      <c r="A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3" spans="1:1" x14ac:dyDescent="0.25">
      <c r="A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4" spans="1:1" x14ac:dyDescent="0.25">
      <c r="A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5" spans="1:1" x14ac:dyDescent="0.25">
      <c r="A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6" spans="1:1" x14ac:dyDescent="0.25">
      <c r="A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7" spans="1:1" x14ac:dyDescent="0.25">
      <c r="A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8" spans="1:1" x14ac:dyDescent="0.25">
      <c r="A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79" spans="1:1" x14ac:dyDescent="0.25">
      <c r="A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(Required)]],CHAR(13),"UID:",DATA!A79,,CHAR(13),IF(Table1[TopicalArea]="","",CONCATENATE(IFERROR(VLOOKUP(Table1[TopicalArea],TOPICALAREAS!A:C,3,FALSE),"LOOKUP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0" spans="1:1" x14ac:dyDescent="0.25">
      <c r="A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1" spans="1:1" x14ac:dyDescent="0.25">
      <c r="A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2" spans="1:1" x14ac:dyDescent="0.25">
      <c r="A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3" spans="1:1" x14ac:dyDescent="0.25">
      <c r="A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4" spans="1:1" x14ac:dyDescent="0.25">
      <c r="A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5" spans="1:1" x14ac:dyDescent="0.25">
      <c r="A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6" spans="1:1" x14ac:dyDescent="0.25">
      <c r="A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7" spans="1:1" x14ac:dyDescent="0.25">
      <c r="A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8" spans="1:1" x14ac:dyDescent="0.25">
      <c r="A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89" spans="1:1" x14ac:dyDescent="0.25">
      <c r="A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(Required)]],CHAR(13),"UID:",DATA!A89,,CHAR(13),IF(Table1[TopicalArea]="","",CONCATENATE(IFERROR(VLOOKUP(Table1[TopicalArea],TOPICALAREAS!A:C,3,FALSE),"LOOKUP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0" spans="1:1" x14ac:dyDescent="0.25">
      <c r="A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1" spans="1:1" x14ac:dyDescent="0.25">
      <c r="A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2" spans="1:1" x14ac:dyDescent="0.25">
      <c r="A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3" spans="1:1" x14ac:dyDescent="0.25">
      <c r="A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4" spans="1:1" x14ac:dyDescent="0.25">
      <c r="A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5" spans="1:1" x14ac:dyDescent="0.25">
      <c r="A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6" spans="1:1" x14ac:dyDescent="0.25">
      <c r="A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7" spans="1:1" x14ac:dyDescent="0.25">
      <c r="A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8" spans="1:1" x14ac:dyDescent="0.25">
      <c r="A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99" spans="1:1" x14ac:dyDescent="0.25">
      <c r="A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(Required)]],CHAR(13),"UID:",DATA!A99,,CHAR(13),IF(Table1[TopicalArea]="","",CONCATENATE(IFERROR(VLOOKUP(Table1[TopicalArea],TOPICALAREAS!A:C,3,FALSE),"LOOKUP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0" spans="1:1" x14ac:dyDescent="0.25">
      <c r="A1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1" spans="1:1" x14ac:dyDescent="0.25">
      <c r="A1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2" spans="1:1" x14ac:dyDescent="0.25">
      <c r="A1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3" spans="1:1" x14ac:dyDescent="0.25">
      <c r="A1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4" spans="1:1" x14ac:dyDescent="0.25">
      <c r="A1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5" spans="1:1" x14ac:dyDescent="0.25">
      <c r="A1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6" spans="1:1" x14ac:dyDescent="0.25">
      <c r="A1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7" spans="1:1" x14ac:dyDescent="0.25">
      <c r="A1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8" spans="1:1" x14ac:dyDescent="0.25">
      <c r="A1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09" spans="1:1" x14ac:dyDescent="0.25">
      <c r="A1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(Required)]],CHAR(13),"UID:",DATA!A109,,CHAR(13),IF(Table1[TopicalArea]="","",CONCATENATE(IFERROR(VLOOKUP(Table1[TopicalArea],TOPICALAREAS!A:C,3,FALSE),"LOOKUP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0" spans="1:1" x14ac:dyDescent="0.25">
      <c r="A1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1" spans="1:1" x14ac:dyDescent="0.25">
      <c r="A1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2" spans="1:1" x14ac:dyDescent="0.25">
      <c r="A1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3" spans="1:1" x14ac:dyDescent="0.25">
      <c r="A1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4" spans="1:1" x14ac:dyDescent="0.25">
      <c r="A1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5" spans="1:1" x14ac:dyDescent="0.25">
      <c r="A1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6" spans="1:1" x14ac:dyDescent="0.25">
      <c r="A1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7" spans="1:1" x14ac:dyDescent="0.25">
      <c r="A1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8" spans="1:1" x14ac:dyDescent="0.25">
      <c r="A1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19" spans="1:1" x14ac:dyDescent="0.25">
      <c r="A1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(Required)]],CHAR(13),"UID:",DATA!A119,,CHAR(13),IF(Table1[TopicalArea]="","",CONCATENATE(IFERROR(VLOOKUP(Table1[TopicalArea],TOPICALAREAS!A:C,3,FALSE),"LOOKUP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0" spans="1:1" x14ac:dyDescent="0.25">
      <c r="A1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1" spans="1:1" x14ac:dyDescent="0.25">
      <c r="A1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2" spans="1:1" x14ac:dyDescent="0.25">
      <c r="A1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3" spans="1:1" x14ac:dyDescent="0.25">
      <c r="A1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4" spans="1:1" x14ac:dyDescent="0.25">
      <c r="A1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5" spans="1:1" x14ac:dyDescent="0.25">
      <c r="A1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6" spans="1:1" x14ac:dyDescent="0.25">
      <c r="A1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7" spans="1:1" x14ac:dyDescent="0.25">
      <c r="A1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8" spans="1:1" x14ac:dyDescent="0.25">
      <c r="A1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29" spans="1:1" x14ac:dyDescent="0.25">
      <c r="A1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(Required)]],CHAR(13),"UID:",DATA!A129,,CHAR(13),IF(Table1[TopicalArea]="","",CONCATENATE(IFERROR(VLOOKUP(Table1[TopicalArea],TOPICALAREAS!A:C,3,FALSE),"LOOKUP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0" spans="1:1" x14ac:dyDescent="0.25">
      <c r="A1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1" spans="1:1" x14ac:dyDescent="0.25">
      <c r="A1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2" spans="1:1" x14ac:dyDescent="0.25">
      <c r="A1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3" spans="1:1" x14ac:dyDescent="0.25">
      <c r="A1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4" spans="1:1" x14ac:dyDescent="0.25">
      <c r="A1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5" spans="1:1" x14ac:dyDescent="0.25">
      <c r="A1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6" spans="1:1" x14ac:dyDescent="0.25">
      <c r="A1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7" spans="1:1" x14ac:dyDescent="0.25">
      <c r="A1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8" spans="1:1" x14ac:dyDescent="0.25">
      <c r="A1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39" spans="1:1" x14ac:dyDescent="0.25">
      <c r="A1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(Required)]],CHAR(13),"UID:",DATA!A139,,CHAR(13),IF(Table1[TopicalArea]="","",CONCATENATE(IFERROR(VLOOKUP(Table1[TopicalArea],TOPICALAREAS!A:C,3,FALSE),"LOOKUP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0" spans="1:1" x14ac:dyDescent="0.25">
      <c r="A1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1" spans="1:1" x14ac:dyDescent="0.25">
      <c r="A1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2" spans="1:1" x14ac:dyDescent="0.25">
      <c r="A1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3" spans="1:1" x14ac:dyDescent="0.25">
      <c r="A1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4" spans="1:1" x14ac:dyDescent="0.25">
      <c r="A1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5" spans="1:1" x14ac:dyDescent="0.25">
      <c r="A1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6" spans="1:1" x14ac:dyDescent="0.25">
      <c r="A1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7" spans="1:1" x14ac:dyDescent="0.25">
      <c r="A1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8" spans="1:1" x14ac:dyDescent="0.25">
      <c r="A1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49" spans="1:1" x14ac:dyDescent="0.25">
      <c r="A1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(Required)]],CHAR(13),"UID:",DATA!A149,,CHAR(13),IF(Table1[TopicalArea]="","",CONCATENATE(IFERROR(VLOOKUP(Table1[TopicalArea],TOPICALAREAS!A:C,3,FALSE),"LOOKUP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0" spans="1:1" x14ac:dyDescent="0.25">
      <c r="A1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1" spans="1:1" x14ac:dyDescent="0.25">
      <c r="A1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2" spans="1:1" x14ac:dyDescent="0.25">
      <c r="A1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3" spans="1:1" x14ac:dyDescent="0.25">
      <c r="A1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4" spans="1:1" x14ac:dyDescent="0.25">
      <c r="A1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5" spans="1:1" x14ac:dyDescent="0.25">
      <c r="A1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6" spans="1:1" x14ac:dyDescent="0.25">
      <c r="A1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7" spans="1:1" x14ac:dyDescent="0.25">
      <c r="A1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8" spans="1:1" x14ac:dyDescent="0.25">
      <c r="A1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59" spans="1:1" x14ac:dyDescent="0.25">
      <c r="A1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(Required)]],CHAR(13),"UID:",DATA!A159,,CHAR(13),IF(Table1[TopicalArea]="","",CONCATENATE(IFERROR(VLOOKUP(Table1[TopicalArea],TOPICALAREAS!A:C,3,FALSE),"LOOKUP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0" spans="1:1" x14ac:dyDescent="0.25">
      <c r="A1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1" spans="1:1" x14ac:dyDescent="0.25">
      <c r="A1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2" spans="1:1" x14ac:dyDescent="0.25">
      <c r="A1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3" spans="1:1" x14ac:dyDescent="0.25">
      <c r="A1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4" spans="1:1" x14ac:dyDescent="0.25">
      <c r="A1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5" spans="1:1" x14ac:dyDescent="0.25">
      <c r="A1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6" spans="1:1" x14ac:dyDescent="0.25">
      <c r="A1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7" spans="1:1" x14ac:dyDescent="0.25">
      <c r="A1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8" spans="1:1" x14ac:dyDescent="0.25">
      <c r="A1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69" spans="1:1" x14ac:dyDescent="0.25">
      <c r="A1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(Required)]],CHAR(13),"UID:",DATA!A169,,CHAR(13),IF(Table1[TopicalArea]="","",CONCATENATE(IFERROR(VLOOKUP(Table1[TopicalArea],TOPICALAREAS!A:C,3,FALSE),"LOOKUP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0" spans="1:1" x14ac:dyDescent="0.25">
      <c r="A1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1" spans="1:1" x14ac:dyDescent="0.25">
      <c r="A1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2" spans="1:1" x14ac:dyDescent="0.25">
      <c r="A1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3" spans="1:1" x14ac:dyDescent="0.25">
      <c r="A1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4" spans="1:1" x14ac:dyDescent="0.25">
      <c r="A1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5" spans="1:1" x14ac:dyDescent="0.25">
      <c r="A1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6" spans="1:1" x14ac:dyDescent="0.25">
      <c r="A1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7" spans="1:1" x14ac:dyDescent="0.25">
      <c r="A1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8" spans="1:1" x14ac:dyDescent="0.25">
      <c r="A1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79" spans="1:1" x14ac:dyDescent="0.25">
      <c r="A1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(Required)]],CHAR(13),"UID:",DATA!A179,,CHAR(13),IF(Table1[TopicalArea]="","",CONCATENATE(IFERROR(VLOOKUP(Table1[TopicalArea],TOPICALAREAS!A:C,3,FALSE),"LOOKUP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0" spans="1:1" x14ac:dyDescent="0.25">
      <c r="A1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1" spans="1:1" x14ac:dyDescent="0.25">
      <c r="A1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2" spans="1:1" x14ac:dyDescent="0.25">
      <c r="A1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3" spans="1:1" x14ac:dyDescent="0.25">
      <c r="A1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4" spans="1:1" x14ac:dyDescent="0.25">
      <c r="A1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5" spans="1:1" x14ac:dyDescent="0.25">
      <c r="A1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6" spans="1:1" x14ac:dyDescent="0.25">
      <c r="A1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7" spans="1:1" x14ac:dyDescent="0.25">
      <c r="A1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8" spans="1:1" x14ac:dyDescent="0.25">
      <c r="A1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89" spans="1:1" x14ac:dyDescent="0.25">
      <c r="A1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(Required)]],CHAR(13),"UID:",DATA!A189,,CHAR(13),IF(Table1[TopicalArea]="","",CONCATENATE(IFERROR(VLOOKUP(Table1[TopicalArea],TOPICALAREAS!A:C,3,FALSE),"LOOKUP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0" spans="1:1" x14ac:dyDescent="0.25">
      <c r="A1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1" spans="1:1" x14ac:dyDescent="0.25">
      <c r="A1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2" spans="1:1" x14ac:dyDescent="0.25">
      <c r="A1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3" spans="1:1" x14ac:dyDescent="0.25">
      <c r="A1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4" spans="1:1" x14ac:dyDescent="0.25">
      <c r="A1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5" spans="1:1" x14ac:dyDescent="0.25">
      <c r="A1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6" spans="1:1" x14ac:dyDescent="0.25">
      <c r="A1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7" spans="1:1" x14ac:dyDescent="0.25">
      <c r="A1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8" spans="1:1" x14ac:dyDescent="0.25">
      <c r="A1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199" spans="1:1" x14ac:dyDescent="0.25">
      <c r="A1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(Required)]],CHAR(13),"UID:",DATA!A199,,CHAR(13),IF(Table1[TopicalArea]="","",CONCATENATE(IFERROR(VLOOKUP(Table1[TopicalArea],TOPICALAREAS!A:C,3,FALSE),"LOOKUP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0" spans="1:1" x14ac:dyDescent="0.25">
      <c r="A2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1" spans="1:1" x14ac:dyDescent="0.25">
      <c r="A2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2" spans="1:1" x14ac:dyDescent="0.25">
      <c r="A2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3" spans="1:1" x14ac:dyDescent="0.25">
      <c r="A2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4" spans="1:1" x14ac:dyDescent="0.25">
      <c r="A2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5" spans="1:1" x14ac:dyDescent="0.25">
      <c r="A2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6" spans="1:1" x14ac:dyDescent="0.25">
      <c r="A2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7" spans="1:1" x14ac:dyDescent="0.25">
      <c r="A2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8" spans="1:1" x14ac:dyDescent="0.25">
      <c r="A2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09" spans="1:1" x14ac:dyDescent="0.25">
      <c r="A2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(Required)]],CHAR(13),"UID:",DATA!A209,,CHAR(13),IF(Table1[TopicalArea]="","",CONCATENATE(IFERROR(VLOOKUP(Table1[TopicalArea],TOPICALAREAS!A:C,3,FALSE),"LOOKUP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0" spans="1:1" x14ac:dyDescent="0.25">
      <c r="A2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1" spans="1:1" x14ac:dyDescent="0.25">
      <c r="A2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2" spans="1:1" x14ac:dyDescent="0.25">
      <c r="A2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3" spans="1:1" x14ac:dyDescent="0.25">
      <c r="A2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4" spans="1:1" x14ac:dyDescent="0.25">
      <c r="A2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5" spans="1:1" x14ac:dyDescent="0.25">
      <c r="A2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6" spans="1:1" x14ac:dyDescent="0.25">
      <c r="A2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7" spans="1:1" x14ac:dyDescent="0.25">
      <c r="A2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8" spans="1:1" x14ac:dyDescent="0.25">
      <c r="A2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19" spans="1:1" x14ac:dyDescent="0.25">
      <c r="A2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(Required)]],CHAR(13),"UID:",DATA!A219,,CHAR(13),IF(Table1[TopicalArea]="","",CONCATENATE(IFERROR(VLOOKUP(Table1[TopicalArea],TOPICALAREAS!A:C,3,FALSE),"LOOKUP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0" spans="1:1" x14ac:dyDescent="0.25">
      <c r="A2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1" spans="1:1" x14ac:dyDescent="0.25">
      <c r="A2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2" spans="1:1" x14ac:dyDescent="0.25">
      <c r="A2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3" spans="1:1" x14ac:dyDescent="0.25">
      <c r="A2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4" spans="1:1" x14ac:dyDescent="0.25">
      <c r="A2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5" spans="1:1" x14ac:dyDescent="0.25">
      <c r="A2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6" spans="1:1" x14ac:dyDescent="0.25">
      <c r="A2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7" spans="1:1" x14ac:dyDescent="0.25">
      <c r="A2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8" spans="1:1" x14ac:dyDescent="0.25">
      <c r="A2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29" spans="1:1" x14ac:dyDescent="0.25">
      <c r="A2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(Required)]],CHAR(13),"UID:",DATA!A229,,CHAR(13),IF(Table1[TopicalArea]="","",CONCATENATE(IFERROR(VLOOKUP(Table1[TopicalArea],TOPICALAREAS!A:C,3,FALSE),"LOOKUP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0" spans="1:1" x14ac:dyDescent="0.25">
      <c r="A2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1" spans="1:1" x14ac:dyDescent="0.25">
      <c r="A2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2" spans="1:1" x14ac:dyDescent="0.25">
      <c r="A2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3" spans="1:1" x14ac:dyDescent="0.25">
      <c r="A2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4" spans="1:1" x14ac:dyDescent="0.25">
      <c r="A2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5" spans="1:1" x14ac:dyDescent="0.25">
      <c r="A2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6" spans="1:1" x14ac:dyDescent="0.25">
      <c r="A2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7" spans="1:1" x14ac:dyDescent="0.25">
      <c r="A2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8" spans="1:1" x14ac:dyDescent="0.25">
      <c r="A2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39" spans="1:1" x14ac:dyDescent="0.25">
      <c r="A2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(Required)]],CHAR(13),"UID:",DATA!A239,,CHAR(13),IF(Table1[TopicalArea]="","",CONCATENATE(IFERROR(VLOOKUP(Table1[TopicalArea],TOPICALAREAS!A:C,3,FALSE),"LOOKUP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0" spans="1:1" x14ac:dyDescent="0.25">
      <c r="A2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1" spans="1:1" x14ac:dyDescent="0.25">
      <c r="A2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(Required)]],CHAR(13),"UID:",DATA!A241,,CHAR(13),IF(Table1[TopicalArea]="","",CONCATENATE(IFERROR(VLOOKUP(Table1[TopicalArea],TOPICALAREAS!A:C,3,FALSE),"LOOKUP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2" spans="1:1" x14ac:dyDescent="0.25">
      <c r="A2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(Required)]],CHAR(13),"UID:",DATA!A242,,CHAR(13),IF(Table1[TopicalArea]="","",CONCATENATE(IFERROR(VLOOKUP(Table1[TopicalArea],TOPICALAREAS!A:C,3,FALSE),"LOOKUP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3" spans="1:1" x14ac:dyDescent="0.25">
      <c r="A2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(Required)]],CHAR(13),"UID:",DATA!A243,,CHAR(13),IF(Table1[TopicalArea]="","",CONCATENATE(IFERROR(VLOOKUP(Table1[TopicalArea],TOPICALAREAS!A:C,3,FALSE),"LOOKUP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4" spans="1:1" x14ac:dyDescent="0.25">
      <c r="A2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(Required)]],CHAR(13),"UID:",DATA!A244,,CHAR(13),IF(Table1[TopicalArea]="","",CONCATENATE(IFERROR(VLOOKUP(Table1[TopicalArea],TOPICALAREAS!A:C,3,FALSE),"LOOKUP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5" spans="1:1" x14ac:dyDescent="0.25">
      <c r="A2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(Required)]],CHAR(13),"UID:",DATA!A245,,CHAR(13),IF(Table1[TopicalArea]="","",CONCATENATE(IFERROR(VLOOKUP(Table1[TopicalArea],TOPICALAREAS!A:C,3,FALSE),"LOOKUP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6" spans="1:1" x14ac:dyDescent="0.25">
      <c r="A2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(Required)]],CHAR(13),"UID:",DATA!A246,,CHAR(13),IF(Table1[TopicalArea]="","",CONCATENATE(IFERROR(VLOOKUP(Table1[TopicalArea],TOPICALAREAS!A:C,3,FALSE),"LOOKUP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7" spans="1:1" x14ac:dyDescent="0.25">
      <c r="A2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(Required)]],CHAR(13),"UID:",DATA!A247,,CHAR(13),IF(Table1[TopicalArea]="","",CONCATENATE(IFERROR(VLOOKUP(Table1[TopicalArea],TOPICALAREAS!A:C,3,FALSE),"LOOKUP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8" spans="1:1" x14ac:dyDescent="0.25">
      <c r="A2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(Required)]],CHAR(13),"UID:",DATA!A248,,CHAR(13),IF(Table1[TopicalArea]="","",CONCATENATE(IFERROR(VLOOKUP(Table1[TopicalArea],TOPICALAREAS!A:C,3,FALSE),"LOOKUP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49" spans="1:1" x14ac:dyDescent="0.25">
      <c r="A2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(Required)]],CHAR(13),"UID:",DATA!A249,,CHAR(13),IF(Table1[TopicalArea]="","",CONCATENATE(IFERROR(VLOOKUP(Table1[TopicalArea],TOPICALAREAS!A:C,3,FALSE),"LOOKUP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50" spans="1:1" x14ac:dyDescent="0.25">
      <c r="A2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5],CHAR(13))),IF(Table1[TopicalArea6]="","",CONCATENATE("CATEGORIES:",Table1[TopicalArea7],CHAR(13))),"CONTACT;X-BEDEWORK-UID=",VLOOKUP(Table1[[#This Row],[BRANCH]],CONTACTS!$A$2:$C$37,3,TRUE),":",VLOOKUP(Table1[[#This Row],[BRANCH]],CONTACTS!$A$2:$B$37,2,TRUE),CHAR(13),"DESCRIPTION:",Table1[[#This Row],[DESCRIPTION
up to 600 characters
(Required)]],CHAR(13),"DTSTART;TZID=America/Chicago:",TEXT(Table1[[#This Row],[DATE MM/DD/YYYY (Required)]],"yyyymmdd"),"T",TEXT(Table1[[#This Row],[START TIME HH:MM AM/PM (Required)]],"hhmmss"),CHAR(13),"DTEND;TZID=America/Chicago:",TEXT(Table1[[#This Row],[DATE MM/DD/YYYY (Required)]],"yyyymmdd"),"T",TEXT(Table1[[#This Row],[END TIME (optional)]],"hhmmss"),CHAR(13),"LOCATION;X-BEDEWORK-UID=",VLOOKUP(Table1[[#This Row],[BRANCH]],LOCATIONS!$A$2:$B$45,2,FALSE),":",VLOOKUP(Table1[[#This Row],[BRANCH]],LOCATIONS!$A$2:$B$45,1,FALSE),CHAR(13),"SUMMARY:",Table1[[#This Row],[PROGRAM TITLE
50 character limit
(Required)]],CHAR(13),"UID:",DATA!A250,,CHAR(13),IF(Table1[TopicalArea]="","",CONCATENATE(IFERROR(VLOOKUP(Table1[TopicalArea],TOPICALAREAS!A:C,3,FALSE),"LOOKUP ERROR"),CHAR(13))),IF(Table1[TopicalArea2]="","",CONCATENATE(IFERROR(VLOOKUP(Table1[TopicalArea2],TOPICALAREAS!A:C,3,FALSE),"LOOKUP ERROR"),CHAR(13))),IF(Table1[TopicalArea3]="","",CONCATENATE(IFERROR(VLOOKUP(Table1[TopicalArea3],TOPICALAREAS!A:C,3,FALSE),"LOOKUP ERROR"),CHAR(13))),IF(Table1[TopicalArea4]="","",CONCATENATE(IFERROR(VLOOKUP(Table1[TopicalArea4],TOPICALAREAS!A:C,3,FALSE),"LOOKUP ERROR"),CHAR(13))),IF(Table1[TopicalArea5]="","",CONCATENATE(IFERROR(VLOOKUP(Table1[TopicalArea5],TOPICALAREAS!A:C,3,FALSE),"LOOKUP ERROR"),CHAR(13))),IF(Table1[TopicalArea6]="","",CONCATENATE(IFERROR(VLOOKUP(Table1[TopicalArea6],TOPICALAREAS!A:C,3,FALSE),"LOOKUP ERROR"),CHAR(13))),IF(Table1[TopicalArea7]="","",CONCATENATE(IFERROR(VLOOKUP(Table1[TopicalArea7],TOPICALAREAS!A:C,3,FALSE),"LOOKUP ERROR"),CHAR(13))),"END:VEVENT")</f>
        <v>#N/A</v>
      </c>
    </row>
    <row r="251" spans="1:1" x14ac:dyDescent="0.25">
      <c r="A2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(Required)]],CHAR(13),"UID:",DATA!A251,,CHAR(13),"END:VEVENT")</f>
        <v>#N/A</v>
      </c>
    </row>
    <row r="252" spans="1:1" x14ac:dyDescent="0.25">
      <c r="A2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(Required)]],CHAR(13),"UID:",DATA!A252,,CHAR(13),"END:VEVENT")</f>
        <v>#N/A</v>
      </c>
    </row>
    <row r="253" spans="1:1" x14ac:dyDescent="0.25">
      <c r="A2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(Required)]],CHAR(13),"UID:",DATA!A253,,CHAR(13),"END:VEVENT")</f>
        <v>#N/A</v>
      </c>
    </row>
    <row r="254" spans="1:1" x14ac:dyDescent="0.25">
      <c r="A2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(Required)]],CHAR(13),"UID:",DATA!A254,,CHAR(13),"END:VEVENT")</f>
        <v>#N/A</v>
      </c>
    </row>
    <row r="255" spans="1:1" x14ac:dyDescent="0.25">
      <c r="A2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(Required)]],CHAR(13),"UID:",DATA!A255,,CHAR(13),"END:VEVENT")</f>
        <v>#N/A</v>
      </c>
    </row>
    <row r="256" spans="1:1" x14ac:dyDescent="0.25">
      <c r="A2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(Required)]],CHAR(13),"UID:",DATA!A256,,CHAR(13),"END:VEVENT")</f>
        <v>#N/A</v>
      </c>
    </row>
    <row r="257" spans="1:1" x14ac:dyDescent="0.25">
      <c r="A2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(Required)]],CHAR(13),"UID:",DATA!A257,,CHAR(13),"END:VEVENT")</f>
        <v>#N/A</v>
      </c>
    </row>
    <row r="258" spans="1:1" x14ac:dyDescent="0.25">
      <c r="A2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(Required)]],CHAR(13),"UID:",DATA!A258,,CHAR(13),"END:VEVENT")</f>
        <v>#N/A</v>
      </c>
    </row>
    <row r="259" spans="1:1" x14ac:dyDescent="0.25">
      <c r="A2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(Required)]],CHAR(13),"UID:",DATA!A259,,CHAR(13),"END:VEVENT")</f>
        <v>#N/A</v>
      </c>
    </row>
    <row r="260" spans="1:1" x14ac:dyDescent="0.25">
      <c r="A2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(Required)]],CHAR(13),"UID:",DATA!A260,,CHAR(13),"END:VEVENT")</f>
        <v>#N/A</v>
      </c>
    </row>
    <row r="261" spans="1:1" x14ac:dyDescent="0.25">
      <c r="A2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(Required)]],CHAR(13),"UID:",DATA!A261,,CHAR(13),"END:VEVENT")</f>
        <v>#N/A</v>
      </c>
    </row>
    <row r="262" spans="1:1" x14ac:dyDescent="0.25">
      <c r="A2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(Required)]],CHAR(13),"UID:",DATA!A262,,CHAR(13),"END:VEVENT")</f>
        <v>#N/A</v>
      </c>
    </row>
    <row r="263" spans="1:1" x14ac:dyDescent="0.25">
      <c r="A2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(Required)]],CHAR(13),"UID:",DATA!A263,,CHAR(13),"END:VEVENT")</f>
        <v>#N/A</v>
      </c>
    </row>
    <row r="264" spans="1:1" x14ac:dyDescent="0.25">
      <c r="A2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(Required)]],CHAR(13),"UID:",DATA!A264,,CHAR(13),"END:VEVENT")</f>
        <v>#N/A</v>
      </c>
    </row>
    <row r="265" spans="1:1" x14ac:dyDescent="0.25">
      <c r="A2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(Required)]],CHAR(13),"UID:",DATA!A265,,CHAR(13),"END:VEVENT")</f>
        <v>#N/A</v>
      </c>
    </row>
    <row r="266" spans="1:1" x14ac:dyDescent="0.25">
      <c r="A2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(Required)]],CHAR(13),"UID:",DATA!A266,,CHAR(13),"END:VEVENT")</f>
        <v>#N/A</v>
      </c>
    </row>
    <row r="267" spans="1:1" x14ac:dyDescent="0.25">
      <c r="A2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(Required)]],CHAR(13),"UID:",DATA!A267,,CHAR(13),"END:VEVENT")</f>
        <v>#N/A</v>
      </c>
    </row>
    <row r="268" spans="1:1" x14ac:dyDescent="0.25">
      <c r="A2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(Required)]],CHAR(13),"UID:",DATA!A268,,CHAR(13),"END:VEVENT")</f>
        <v>#N/A</v>
      </c>
    </row>
    <row r="269" spans="1:1" x14ac:dyDescent="0.25">
      <c r="A2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(Required)]],CHAR(13),"UID:",DATA!A269,,CHAR(13),"END:VEVENT")</f>
        <v>#N/A</v>
      </c>
    </row>
    <row r="270" spans="1:1" x14ac:dyDescent="0.25">
      <c r="A2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(Required)]],CHAR(13),"UID:",DATA!A270,,CHAR(13),"END:VEVENT")</f>
        <v>#N/A</v>
      </c>
    </row>
    <row r="271" spans="1:1" x14ac:dyDescent="0.25">
      <c r="A2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(Required)]],CHAR(13),"UID:",DATA!A271,,CHAR(13),"END:VEVENT")</f>
        <v>#N/A</v>
      </c>
    </row>
    <row r="272" spans="1:1" x14ac:dyDescent="0.25">
      <c r="A2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(Required)]],CHAR(13),"UID:",DATA!A272,,CHAR(13),"END:VEVENT")</f>
        <v>#N/A</v>
      </c>
    </row>
    <row r="273" spans="1:1" x14ac:dyDescent="0.25">
      <c r="A2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(Required)]],CHAR(13),"UID:",DATA!A273,,CHAR(13),"END:VEVENT")</f>
        <v>#N/A</v>
      </c>
    </row>
    <row r="274" spans="1:1" x14ac:dyDescent="0.25">
      <c r="A2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(Required)]],CHAR(13),"UID:",DATA!A274,,CHAR(13),"END:VEVENT")</f>
        <v>#N/A</v>
      </c>
    </row>
    <row r="275" spans="1:1" x14ac:dyDescent="0.25">
      <c r="A2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(Required)]],CHAR(13),"UID:",DATA!A275,,CHAR(13),"END:VEVENT")</f>
        <v>#N/A</v>
      </c>
    </row>
    <row r="276" spans="1:1" x14ac:dyDescent="0.25">
      <c r="A2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(Required)]],CHAR(13),"UID:",DATA!A276,,CHAR(13),"END:VEVENT")</f>
        <v>#N/A</v>
      </c>
    </row>
    <row r="277" spans="1:1" x14ac:dyDescent="0.25">
      <c r="A2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(Required)]],CHAR(13),"UID:",DATA!A277,,CHAR(13),"END:VEVENT")</f>
        <v>#N/A</v>
      </c>
    </row>
    <row r="278" spans="1:1" x14ac:dyDescent="0.25">
      <c r="A2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(Required)]],CHAR(13),"UID:",DATA!A278,,CHAR(13),"END:VEVENT")</f>
        <v>#N/A</v>
      </c>
    </row>
    <row r="279" spans="1:1" x14ac:dyDescent="0.25">
      <c r="A2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(Required)]],CHAR(13),"UID:",DATA!A279,,CHAR(13),"END:VEVENT")</f>
        <v>#N/A</v>
      </c>
    </row>
    <row r="280" spans="1:1" x14ac:dyDescent="0.25">
      <c r="A2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(Required)]],CHAR(13),"UID:",DATA!A280,,CHAR(13),"END:VEVENT")</f>
        <v>#N/A</v>
      </c>
    </row>
    <row r="281" spans="1:1" x14ac:dyDescent="0.25">
      <c r="A2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(Required)]],CHAR(13),"UID:",DATA!A281,,CHAR(13),"END:VEVENT")</f>
        <v>#N/A</v>
      </c>
    </row>
    <row r="282" spans="1:1" x14ac:dyDescent="0.25">
      <c r="A2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(Required)]],CHAR(13),"UID:",DATA!A282,,CHAR(13),"END:VEVENT")</f>
        <v>#N/A</v>
      </c>
    </row>
    <row r="283" spans="1:1" x14ac:dyDescent="0.25">
      <c r="A2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(Required)]],CHAR(13),"UID:",DATA!A283,,CHAR(13),"END:VEVENT")</f>
        <v>#N/A</v>
      </c>
    </row>
    <row r="284" spans="1:1" x14ac:dyDescent="0.25">
      <c r="A2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(Required)]],CHAR(13),"UID:",DATA!A284,,CHAR(13),"END:VEVENT")</f>
        <v>#N/A</v>
      </c>
    </row>
    <row r="285" spans="1:1" x14ac:dyDescent="0.25">
      <c r="A2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(Required)]],CHAR(13),"UID:",DATA!A285,,CHAR(13),"END:VEVENT")</f>
        <v>#N/A</v>
      </c>
    </row>
    <row r="286" spans="1:1" x14ac:dyDescent="0.25">
      <c r="A2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(Required)]],CHAR(13),"UID:",DATA!A286,,CHAR(13),"END:VEVENT")</f>
        <v>#N/A</v>
      </c>
    </row>
    <row r="287" spans="1:1" x14ac:dyDescent="0.25">
      <c r="A2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(Required)]],CHAR(13),"UID:",DATA!A287,,CHAR(13),"END:VEVENT")</f>
        <v>#N/A</v>
      </c>
    </row>
    <row r="288" spans="1:1" x14ac:dyDescent="0.25">
      <c r="A2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(Required)]],CHAR(13),"UID:",DATA!A288,,CHAR(13),"END:VEVENT")</f>
        <v>#N/A</v>
      </c>
    </row>
    <row r="289" spans="1:1" x14ac:dyDescent="0.25">
      <c r="A2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(Required)]],CHAR(13),"UID:",DATA!A289,,CHAR(13),"END:VEVENT")</f>
        <v>#N/A</v>
      </c>
    </row>
    <row r="290" spans="1:1" x14ac:dyDescent="0.25">
      <c r="A2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(Required)]],CHAR(13),"UID:",DATA!A290,,CHAR(13),"END:VEVENT")</f>
        <v>#N/A</v>
      </c>
    </row>
    <row r="291" spans="1:1" x14ac:dyDescent="0.25">
      <c r="A2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(Required)]],CHAR(13),"UID:",DATA!A291,,CHAR(13),"END:VEVENT")</f>
        <v>#N/A</v>
      </c>
    </row>
    <row r="292" spans="1:1" x14ac:dyDescent="0.25">
      <c r="A2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(Required)]],CHAR(13),"UID:",DATA!A292,,CHAR(13),"END:VEVENT")</f>
        <v>#N/A</v>
      </c>
    </row>
    <row r="293" spans="1:1" x14ac:dyDescent="0.25">
      <c r="A2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(Required)]],CHAR(13),"UID:",DATA!A293,,CHAR(13),"END:VEVENT")</f>
        <v>#N/A</v>
      </c>
    </row>
    <row r="294" spans="1:1" x14ac:dyDescent="0.25">
      <c r="A2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(Required)]],CHAR(13),"UID:",DATA!A294,,CHAR(13),"END:VEVENT")</f>
        <v>#N/A</v>
      </c>
    </row>
    <row r="295" spans="1:1" x14ac:dyDescent="0.25">
      <c r="A2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(Required)]],CHAR(13),"UID:",DATA!A295,,CHAR(13),"END:VEVENT")</f>
        <v>#N/A</v>
      </c>
    </row>
    <row r="296" spans="1:1" x14ac:dyDescent="0.25">
      <c r="A2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(Required)]],CHAR(13),"UID:",DATA!A296,,CHAR(13),"END:VEVENT")</f>
        <v>#N/A</v>
      </c>
    </row>
    <row r="297" spans="1:1" x14ac:dyDescent="0.25">
      <c r="A2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(Required)]],CHAR(13),"UID:",DATA!A297,,CHAR(13),"END:VEVENT")</f>
        <v>#N/A</v>
      </c>
    </row>
    <row r="298" spans="1:1" x14ac:dyDescent="0.25">
      <c r="A2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(Required)]],CHAR(13),"UID:",DATA!A298,,CHAR(13),"END:VEVENT")</f>
        <v>#N/A</v>
      </c>
    </row>
    <row r="299" spans="1:1" x14ac:dyDescent="0.25">
      <c r="A2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(Required)]],CHAR(13),"UID:",DATA!A299,,CHAR(13),"END:VEVENT")</f>
        <v>#N/A</v>
      </c>
    </row>
    <row r="300" spans="1:1" x14ac:dyDescent="0.25">
      <c r="A3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(Required)]],CHAR(13),"UID:",DATA!A300,,CHAR(13),"END:VEVENT")</f>
        <v>#N/A</v>
      </c>
    </row>
    <row r="301" spans="1:1" x14ac:dyDescent="0.25">
      <c r="A3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(Required)]],CHAR(13),"UID:",DATA!A301,,CHAR(13),"END:VEVENT")</f>
        <v>#N/A</v>
      </c>
    </row>
    <row r="302" spans="1:1" x14ac:dyDescent="0.25">
      <c r="A3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(Required)]],CHAR(13),"UID:",DATA!A302,,CHAR(13),"END:VEVENT")</f>
        <v>#N/A</v>
      </c>
    </row>
    <row r="303" spans="1:1" x14ac:dyDescent="0.25">
      <c r="A3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(Required)]],CHAR(13),"UID:",DATA!A303,,CHAR(13),"END:VEVENT")</f>
        <v>#N/A</v>
      </c>
    </row>
    <row r="304" spans="1:1" x14ac:dyDescent="0.25">
      <c r="A3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(Required)]],CHAR(13),"UID:",DATA!A304,,CHAR(13),"END:VEVENT")</f>
        <v>#N/A</v>
      </c>
    </row>
    <row r="305" spans="1:1" x14ac:dyDescent="0.25">
      <c r="A3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(Required)]],CHAR(13),"UID:",DATA!A305,,CHAR(13),"END:VEVENT")</f>
        <v>#N/A</v>
      </c>
    </row>
    <row r="306" spans="1:1" x14ac:dyDescent="0.25">
      <c r="A3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(Required)]],CHAR(13),"UID:",DATA!A306,,CHAR(13),"END:VEVENT")</f>
        <v>#N/A</v>
      </c>
    </row>
    <row r="307" spans="1:1" x14ac:dyDescent="0.25">
      <c r="A3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(Required)]],CHAR(13),"UID:",DATA!A307,,CHAR(13),"END:VEVENT")</f>
        <v>#N/A</v>
      </c>
    </row>
    <row r="308" spans="1:1" x14ac:dyDescent="0.25">
      <c r="A3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(Required)]],CHAR(13),"UID:",DATA!A308,,CHAR(13),"END:VEVENT")</f>
        <v>#N/A</v>
      </c>
    </row>
    <row r="309" spans="1:1" x14ac:dyDescent="0.25">
      <c r="A3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(Required)]],CHAR(13),"UID:",DATA!A309,,CHAR(13),"END:VEVENT")</f>
        <v>#N/A</v>
      </c>
    </row>
    <row r="310" spans="1:1" x14ac:dyDescent="0.25">
      <c r="A3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(Required)]],CHAR(13),"UID:",DATA!A310,,CHAR(13),"END:VEVENT")</f>
        <v>#N/A</v>
      </c>
    </row>
    <row r="311" spans="1:1" x14ac:dyDescent="0.25">
      <c r="A3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(Required)]],CHAR(13),"UID:",DATA!A311,,CHAR(13),"END:VEVENT")</f>
        <v>#N/A</v>
      </c>
    </row>
    <row r="312" spans="1:1" x14ac:dyDescent="0.25">
      <c r="A3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(Required)]],CHAR(13),"UID:",DATA!A312,,CHAR(13),"END:VEVENT")</f>
        <v>#N/A</v>
      </c>
    </row>
    <row r="313" spans="1:1" x14ac:dyDescent="0.25">
      <c r="A3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(Required)]],CHAR(13),"UID:",DATA!A313,,CHAR(13),"END:VEVENT")</f>
        <v>#N/A</v>
      </c>
    </row>
    <row r="314" spans="1:1" x14ac:dyDescent="0.25">
      <c r="A3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(Required)]],CHAR(13),"UID:",DATA!A314,,CHAR(13),"END:VEVENT")</f>
        <v>#N/A</v>
      </c>
    </row>
    <row r="315" spans="1:1" x14ac:dyDescent="0.25">
      <c r="A3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(Required)]],CHAR(13),"UID:",DATA!A315,,CHAR(13),"END:VEVENT")</f>
        <v>#N/A</v>
      </c>
    </row>
    <row r="316" spans="1:1" x14ac:dyDescent="0.25">
      <c r="A3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(Required)]],CHAR(13),"UID:",DATA!A316,,CHAR(13),"END:VEVENT")</f>
        <v>#N/A</v>
      </c>
    </row>
    <row r="317" spans="1:1" x14ac:dyDescent="0.25">
      <c r="A3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(Required)]],CHAR(13),"UID:",DATA!A317,,CHAR(13),"END:VEVENT")</f>
        <v>#N/A</v>
      </c>
    </row>
    <row r="318" spans="1:1" x14ac:dyDescent="0.25">
      <c r="A3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(Required)]],CHAR(13),"UID:",DATA!A318,,CHAR(13),"END:VEVENT")</f>
        <v>#N/A</v>
      </c>
    </row>
    <row r="319" spans="1:1" x14ac:dyDescent="0.25">
      <c r="A3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(Required)]],CHAR(13),"UID:",DATA!A319,,CHAR(13),"END:VEVENT")</f>
        <v>#N/A</v>
      </c>
    </row>
    <row r="320" spans="1:1" x14ac:dyDescent="0.25">
      <c r="A3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(Required)]],CHAR(13),"UID:",DATA!A320,,CHAR(13),"END:VEVENT")</f>
        <v>#N/A</v>
      </c>
    </row>
    <row r="321" spans="1:1" x14ac:dyDescent="0.25">
      <c r="A3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(Required)]],CHAR(13),"UID:",DATA!A321,,CHAR(13),"END:VEVENT")</f>
        <v>#N/A</v>
      </c>
    </row>
    <row r="322" spans="1:1" x14ac:dyDescent="0.25">
      <c r="A3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(Required)]],CHAR(13),"UID:",DATA!A322,,CHAR(13),"END:VEVENT")</f>
        <v>#N/A</v>
      </c>
    </row>
    <row r="323" spans="1:1" x14ac:dyDescent="0.25">
      <c r="A3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(Required)]],CHAR(13),"UID:",DATA!A323,,CHAR(13),"END:VEVENT")</f>
        <v>#N/A</v>
      </c>
    </row>
    <row r="324" spans="1:1" x14ac:dyDescent="0.25">
      <c r="A3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(Required)]],CHAR(13),"UID:",DATA!A324,,CHAR(13),"END:VEVENT")</f>
        <v>#N/A</v>
      </c>
    </row>
    <row r="325" spans="1:1" x14ac:dyDescent="0.25">
      <c r="A3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(Required)]],CHAR(13),"UID:",DATA!A325,,CHAR(13),"END:VEVENT")</f>
        <v>#N/A</v>
      </c>
    </row>
    <row r="326" spans="1:1" x14ac:dyDescent="0.25">
      <c r="A3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(Required)]],CHAR(13),"UID:",DATA!A326,,CHAR(13),"END:VEVENT")</f>
        <v>#N/A</v>
      </c>
    </row>
    <row r="327" spans="1:1" x14ac:dyDescent="0.25">
      <c r="A3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(Required)]],CHAR(13),"UID:",DATA!A327,,CHAR(13),"END:VEVENT")</f>
        <v>#N/A</v>
      </c>
    </row>
    <row r="328" spans="1:1" x14ac:dyDescent="0.25">
      <c r="A3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(Required)]],CHAR(13),"UID:",DATA!A328,,CHAR(13),"END:VEVENT")</f>
        <v>#N/A</v>
      </c>
    </row>
    <row r="329" spans="1:1" x14ac:dyDescent="0.25">
      <c r="A3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(Required)]],CHAR(13),"UID:",DATA!A329,,CHAR(13),"END:VEVENT")</f>
        <v>#N/A</v>
      </c>
    </row>
    <row r="330" spans="1:1" x14ac:dyDescent="0.25">
      <c r="A3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(Required)]],CHAR(13),"UID:",DATA!A330,,CHAR(13),"END:VEVENT")</f>
        <v>#N/A</v>
      </c>
    </row>
    <row r="331" spans="1:1" x14ac:dyDescent="0.25">
      <c r="A3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(Required)]],CHAR(13),"UID:",DATA!A331,,CHAR(13),"END:VEVENT")</f>
        <v>#N/A</v>
      </c>
    </row>
    <row r="332" spans="1:1" x14ac:dyDescent="0.25">
      <c r="A3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(Required)]],CHAR(13),"UID:",DATA!A332,,CHAR(13),"END:VEVENT")</f>
        <v>#N/A</v>
      </c>
    </row>
    <row r="333" spans="1:1" x14ac:dyDescent="0.25">
      <c r="A3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(Required)]],CHAR(13),"UID:",DATA!A333,,CHAR(13),"END:VEVENT")</f>
        <v>#N/A</v>
      </c>
    </row>
    <row r="334" spans="1:1" x14ac:dyDescent="0.25">
      <c r="A3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(Required)]],CHAR(13),"UID:",DATA!A334,,CHAR(13),"END:VEVENT")</f>
        <v>#N/A</v>
      </c>
    </row>
    <row r="335" spans="1:1" x14ac:dyDescent="0.25">
      <c r="A3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(Required)]],CHAR(13),"UID:",DATA!A335,,CHAR(13),"END:VEVENT")</f>
        <v>#N/A</v>
      </c>
    </row>
    <row r="336" spans="1:1" x14ac:dyDescent="0.25">
      <c r="A3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(Required)]],CHAR(13),"UID:",DATA!A336,,CHAR(13),"END:VEVENT")</f>
        <v>#N/A</v>
      </c>
    </row>
    <row r="337" spans="1:1" x14ac:dyDescent="0.25">
      <c r="A3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(Required)]],CHAR(13),"UID:",DATA!A337,,CHAR(13),"END:VEVENT")</f>
        <v>#N/A</v>
      </c>
    </row>
    <row r="338" spans="1:1" x14ac:dyDescent="0.25">
      <c r="A3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(Required)]],CHAR(13),"UID:",DATA!A338,,CHAR(13),"END:VEVENT")</f>
        <v>#N/A</v>
      </c>
    </row>
    <row r="339" spans="1:1" x14ac:dyDescent="0.25">
      <c r="A3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(Required)]],CHAR(13),"UID:",DATA!A339,,CHAR(13),"END:VEVENT")</f>
        <v>#N/A</v>
      </c>
    </row>
    <row r="340" spans="1:1" x14ac:dyDescent="0.25">
      <c r="A3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(Required)]],CHAR(13),"UID:",DATA!A340,,CHAR(13),"END:VEVENT")</f>
        <v>#N/A</v>
      </c>
    </row>
    <row r="341" spans="1:1" x14ac:dyDescent="0.25">
      <c r="A3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(Required)]],CHAR(13),"UID:",DATA!A341,,CHAR(13),"END:VEVENT")</f>
        <v>#N/A</v>
      </c>
    </row>
    <row r="342" spans="1:1" x14ac:dyDescent="0.25">
      <c r="A3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(Required)]],CHAR(13),"UID:",DATA!A342,,CHAR(13),"END:VEVENT")</f>
        <v>#N/A</v>
      </c>
    </row>
    <row r="343" spans="1:1" x14ac:dyDescent="0.25">
      <c r="A3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(Required)]],CHAR(13),"UID:",DATA!A343,,CHAR(13),"END:VEVENT")</f>
        <v>#N/A</v>
      </c>
    </row>
    <row r="344" spans="1:1" x14ac:dyDescent="0.25">
      <c r="A3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(Required)]],CHAR(13),"UID:",DATA!A344,,CHAR(13),"END:VEVENT")</f>
        <v>#N/A</v>
      </c>
    </row>
    <row r="345" spans="1:1" x14ac:dyDescent="0.25">
      <c r="A3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(Required)]],CHAR(13),"UID:",DATA!A345,,CHAR(13),"END:VEVENT")</f>
        <v>#N/A</v>
      </c>
    </row>
    <row r="346" spans="1:1" x14ac:dyDescent="0.25">
      <c r="A3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(Required)]],CHAR(13),"UID:",DATA!A346,,CHAR(13),"END:VEVENT")</f>
        <v>#N/A</v>
      </c>
    </row>
    <row r="347" spans="1:1" x14ac:dyDescent="0.25">
      <c r="A3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(Required)]],CHAR(13),"UID:",DATA!A347,,CHAR(13),"END:VEVENT")</f>
        <v>#N/A</v>
      </c>
    </row>
    <row r="348" spans="1:1" x14ac:dyDescent="0.25">
      <c r="A3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(Required)]],CHAR(13),"UID:",DATA!A348,,CHAR(13),"END:VEVENT")</f>
        <v>#N/A</v>
      </c>
    </row>
    <row r="349" spans="1:1" x14ac:dyDescent="0.25">
      <c r="A3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(Required)]],CHAR(13),"UID:",DATA!A349,,CHAR(13),"END:VEVENT")</f>
        <v>#N/A</v>
      </c>
    </row>
    <row r="350" spans="1:1" x14ac:dyDescent="0.25">
      <c r="A3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(Required)]],CHAR(13),"UID:",DATA!A350,,CHAR(13),"END:VEVENT")</f>
        <v>#N/A</v>
      </c>
    </row>
    <row r="351" spans="1:1" x14ac:dyDescent="0.25">
      <c r="A3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(Required)]],CHAR(13),"UID:",DATA!A351,,CHAR(13),"END:VEVENT")</f>
        <v>#N/A</v>
      </c>
    </row>
    <row r="352" spans="1:1" x14ac:dyDescent="0.25">
      <c r="A3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(Required)]],CHAR(13),"UID:",DATA!A352,,CHAR(13),"END:VEVENT")</f>
        <v>#N/A</v>
      </c>
    </row>
    <row r="353" spans="1:1" x14ac:dyDescent="0.25">
      <c r="A3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(Required)]],CHAR(13),"UID:",DATA!A353,,CHAR(13),"END:VEVENT")</f>
        <v>#N/A</v>
      </c>
    </row>
    <row r="354" spans="1:1" x14ac:dyDescent="0.25">
      <c r="A3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(Required)]],CHAR(13),"UID:",DATA!A354,,CHAR(13),"END:VEVENT")</f>
        <v>#N/A</v>
      </c>
    </row>
    <row r="355" spans="1:1" x14ac:dyDescent="0.25">
      <c r="A3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(Required)]],CHAR(13),"UID:",DATA!A355,,CHAR(13),"END:VEVENT")</f>
        <v>#N/A</v>
      </c>
    </row>
    <row r="356" spans="1:1" x14ac:dyDescent="0.25">
      <c r="A3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(Required)]],CHAR(13),"UID:",DATA!A356,,CHAR(13),"END:VEVENT")</f>
        <v>#N/A</v>
      </c>
    </row>
    <row r="357" spans="1:1" x14ac:dyDescent="0.25">
      <c r="A3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(Required)]],CHAR(13),"UID:",DATA!A357,,CHAR(13),"END:VEVENT")</f>
        <v>#N/A</v>
      </c>
    </row>
    <row r="358" spans="1:1" x14ac:dyDescent="0.25">
      <c r="A3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(Required)]],CHAR(13),"UID:",DATA!A358,,CHAR(13),"END:VEVENT")</f>
        <v>#N/A</v>
      </c>
    </row>
    <row r="359" spans="1:1" x14ac:dyDescent="0.25">
      <c r="A3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(Required)]],CHAR(13),"UID:",DATA!A359,,CHAR(13),"END:VEVENT")</f>
        <v>#N/A</v>
      </c>
    </row>
    <row r="360" spans="1:1" x14ac:dyDescent="0.25">
      <c r="A3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(Required)]],CHAR(13),"UID:",DATA!A360,,CHAR(13),"END:VEVENT")</f>
        <v>#N/A</v>
      </c>
    </row>
    <row r="361" spans="1:1" x14ac:dyDescent="0.25">
      <c r="A3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(Required)]],CHAR(13),"UID:",DATA!A361,,CHAR(13),"END:VEVENT")</f>
        <v>#N/A</v>
      </c>
    </row>
    <row r="362" spans="1:1" x14ac:dyDescent="0.25">
      <c r="A3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(Required)]],CHAR(13),"UID:",DATA!A362,,CHAR(13),"END:VEVENT")</f>
        <v>#N/A</v>
      </c>
    </row>
    <row r="363" spans="1:1" x14ac:dyDescent="0.25">
      <c r="A3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(Required)]],CHAR(13),"UID:",DATA!A363,,CHAR(13),"END:VEVENT")</f>
        <v>#N/A</v>
      </c>
    </row>
    <row r="364" spans="1:1" x14ac:dyDescent="0.25">
      <c r="A3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(Required)]],CHAR(13),"UID:",DATA!A364,,CHAR(13),"END:VEVENT")</f>
        <v>#N/A</v>
      </c>
    </row>
    <row r="365" spans="1:1" x14ac:dyDescent="0.25">
      <c r="A3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(Required)]],CHAR(13),"UID:",DATA!A365,,CHAR(13),"END:VEVENT")</f>
        <v>#N/A</v>
      </c>
    </row>
    <row r="366" spans="1:1" x14ac:dyDescent="0.25">
      <c r="A3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(Required)]],CHAR(13),"UID:",DATA!A366,,CHAR(13),"END:VEVENT")</f>
        <v>#N/A</v>
      </c>
    </row>
    <row r="367" spans="1:1" x14ac:dyDescent="0.25">
      <c r="A3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(Required)]],CHAR(13),"UID:",DATA!A367,,CHAR(13),"END:VEVENT")</f>
        <v>#N/A</v>
      </c>
    </row>
    <row r="368" spans="1:1" x14ac:dyDescent="0.25">
      <c r="A3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(Required)]],CHAR(13),"UID:",DATA!A368,,CHAR(13),"END:VEVENT")</f>
        <v>#N/A</v>
      </c>
    </row>
    <row r="369" spans="1:1" x14ac:dyDescent="0.25">
      <c r="A3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(Required)]],CHAR(13),"UID:",DATA!A369,,CHAR(13),"END:VEVENT")</f>
        <v>#N/A</v>
      </c>
    </row>
    <row r="370" spans="1:1" x14ac:dyDescent="0.25">
      <c r="A3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(Required)]],CHAR(13),"UID:",DATA!A370,,CHAR(13),"END:VEVENT")</f>
        <v>#N/A</v>
      </c>
    </row>
    <row r="371" spans="1:1" x14ac:dyDescent="0.25">
      <c r="A3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(Required)]],CHAR(13),"UID:",DATA!A371,,CHAR(13),"END:VEVENT")</f>
        <v>#N/A</v>
      </c>
    </row>
    <row r="372" spans="1:1" x14ac:dyDescent="0.25">
      <c r="A3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(Required)]],CHAR(13),"UID:",DATA!A372,,CHAR(13),"END:VEVENT")</f>
        <v>#N/A</v>
      </c>
    </row>
    <row r="373" spans="1:1" x14ac:dyDescent="0.25">
      <c r="A3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(Required)]],CHAR(13),"UID:",DATA!A373,,CHAR(13),"END:VEVENT")</f>
        <v>#N/A</v>
      </c>
    </row>
    <row r="374" spans="1:1" x14ac:dyDescent="0.25">
      <c r="A3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(Required)]],CHAR(13),"UID:",DATA!A374,,CHAR(13),"END:VEVENT")</f>
        <v>#N/A</v>
      </c>
    </row>
    <row r="375" spans="1:1" x14ac:dyDescent="0.25">
      <c r="A3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(Required)]],CHAR(13),"UID:",DATA!A375,,CHAR(13),"END:VEVENT")</f>
        <v>#N/A</v>
      </c>
    </row>
    <row r="376" spans="1:1" x14ac:dyDescent="0.25">
      <c r="A3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(Required)]],CHAR(13),"UID:",DATA!A376,,CHAR(13),"END:VEVENT")</f>
        <v>#N/A</v>
      </c>
    </row>
    <row r="377" spans="1:1" x14ac:dyDescent="0.25">
      <c r="A3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(Required)]],CHAR(13),"UID:",DATA!A377,,CHAR(13),"END:VEVENT")</f>
        <v>#N/A</v>
      </c>
    </row>
    <row r="378" spans="1:1" x14ac:dyDescent="0.25">
      <c r="A3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(Required)]],CHAR(13),"UID:",DATA!A378,,CHAR(13),"END:VEVENT")</f>
        <v>#N/A</v>
      </c>
    </row>
    <row r="379" spans="1:1" x14ac:dyDescent="0.25">
      <c r="A3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(Required)]],CHAR(13),"UID:",DATA!A379,,CHAR(13),"END:VEVENT")</f>
        <v>#N/A</v>
      </c>
    </row>
    <row r="380" spans="1:1" x14ac:dyDescent="0.25">
      <c r="A3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(Required)]],CHAR(13),"UID:",DATA!A380,,CHAR(13),"END:VEVENT")</f>
        <v>#N/A</v>
      </c>
    </row>
    <row r="381" spans="1:1" x14ac:dyDescent="0.25">
      <c r="A3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(Required)]],CHAR(13),"UID:",DATA!A381,,CHAR(13),"END:VEVENT")</f>
        <v>#N/A</v>
      </c>
    </row>
    <row r="382" spans="1:1" x14ac:dyDescent="0.25">
      <c r="A3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(Required)]],CHAR(13),"UID:",DATA!A382,,CHAR(13),"END:VEVENT")</f>
        <v>#N/A</v>
      </c>
    </row>
    <row r="383" spans="1:1" x14ac:dyDescent="0.25">
      <c r="A3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(Required)]],CHAR(13),"UID:",DATA!A383,,CHAR(13),"END:VEVENT")</f>
        <v>#N/A</v>
      </c>
    </row>
    <row r="384" spans="1:1" x14ac:dyDescent="0.25">
      <c r="A3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(Required)]],CHAR(13),"UID:",DATA!A384,,CHAR(13),"END:VEVENT")</f>
        <v>#N/A</v>
      </c>
    </row>
    <row r="385" spans="1:1" x14ac:dyDescent="0.25">
      <c r="A3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(Required)]],CHAR(13),"UID:",DATA!A385,,CHAR(13),"END:VEVENT")</f>
        <v>#N/A</v>
      </c>
    </row>
    <row r="386" spans="1:1" x14ac:dyDescent="0.25">
      <c r="A3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(Required)]],CHAR(13),"UID:",DATA!A386,,CHAR(13),"END:VEVENT")</f>
        <v>#N/A</v>
      </c>
    </row>
    <row r="387" spans="1:1" x14ac:dyDescent="0.25">
      <c r="A3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(Required)]],CHAR(13),"UID:",DATA!A387,,CHAR(13),"END:VEVENT")</f>
        <v>#N/A</v>
      </c>
    </row>
    <row r="388" spans="1:1" x14ac:dyDescent="0.25">
      <c r="A3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(Required)]],CHAR(13),"UID:",DATA!A388,,CHAR(13),"END:VEVENT")</f>
        <v>#N/A</v>
      </c>
    </row>
    <row r="389" spans="1:1" x14ac:dyDescent="0.25">
      <c r="A3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(Required)]],CHAR(13),"UID:",DATA!A389,,CHAR(13),"END:VEVENT")</f>
        <v>#N/A</v>
      </c>
    </row>
    <row r="390" spans="1:1" x14ac:dyDescent="0.25">
      <c r="A3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(Required)]],CHAR(13),"UID:",DATA!A390,,CHAR(13),"END:VEVENT")</f>
        <v>#N/A</v>
      </c>
    </row>
    <row r="391" spans="1:1" x14ac:dyDescent="0.25">
      <c r="A3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(Required)]],CHAR(13),"UID:",DATA!A391,,CHAR(13),"END:VEVENT")</f>
        <v>#N/A</v>
      </c>
    </row>
    <row r="392" spans="1:1" x14ac:dyDescent="0.25">
      <c r="A3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(Required)]],CHAR(13),"UID:",DATA!A392,,CHAR(13),"END:VEVENT")</f>
        <v>#N/A</v>
      </c>
    </row>
    <row r="393" spans="1:1" x14ac:dyDescent="0.25">
      <c r="A3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(Required)]],CHAR(13),"UID:",DATA!A393,,CHAR(13),"END:VEVENT")</f>
        <v>#N/A</v>
      </c>
    </row>
    <row r="394" spans="1:1" x14ac:dyDescent="0.25">
      <c r="A3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(Required)]],CHAR(13),"UID:",DATA!A394,,CHAR(13),"END:VEVENT")</f>
        <v>#N/A</v>
      </c>
    </row>
    <row r="395" spans="1:1" x14ac:dyDescent="0.25">
      <c r="A3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(Required)]],CHAR(13),"UID:",DATA!A395,,CHAR(13),"END:VEVENT")</f>
        <v>#N/A</v>
      </c>
    </row>
    <row r="396" spans="1:1" x14ac:dyDescent="0.25">
      <c r="A3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(Required)]],CHAR(13),"UID:",DATA!A396,,CHAR(13),"END:VEVENT")</f>
        <v>#N/A</v>
      </c>
    </row>
    <row r="397" spans="1:1" x14ac:dyDescent="0.25">
      <c r="A3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(Required)]],CHAR(13),"UID:",DATA!A397,,CHAR(13),"END:VEVENT")</f>
        <v>#N/A</v>
      </c>
    </row>
    <row r="398" spans="1:1" x14ac:dyDescent="0.25">
      <c r="A3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(Required)]],CHAR(13),"UID:",DATA!A398,,CHAR(13),"END:VEVENT")</f>
        <v>#N/A</v>
      </c>
    </row>
    <row r="399" spans="1:1" x14ac:dyDescent="0.25">
      <c r="A3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(Required)]],CHAR(13),"UID:",DATA!A399,,CHAR(13),"END:VEVENT")</f>
        <v>#N/A</v>
      </c>
    </row>
    <row r="400" spans="1:1" x14ac:dyDescent="0.25">
      <c r="A4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(Required)]],CHAR(13),"UID:",DATA!A400,,CHAR(13),"END:VEVENT")</f>
        <v>#N/A</v>
      </c>
    </row>
    <row r="401" spans="1:1" x14ac:dyDescent="0.25">
      <c r="A40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(Required)]],CHAR(13),"UID:",DATA!A401,,CHAR(13),"END:VEVENT")</f>
        <v>#N/A</v>
      </c>
    </row>
    <row r="402" spans="1:1" x14ac:dyDescent="0.25">
      <c r="A40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(Required)]],CHAR(13),"UID:",DATA!A402,,CHAR(13),"END:VEVENT")</f>
        <v>#N/A</v>
      </c>
    </row>
    <row r="403" spans="1:1" x14ac:dyDescent="0.25">
      <c r="A40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(Required)]],CHAR(13),"UID:",DATA!A403,,CHAR(13),"END:VEVENT")</f>
        <v>#N/A</v>
      </c>
    </row>
    <row r="404" spans="1:1" x14ac:dyDescent="0.25">
      <c r="A40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(Required)]],CHAR(13),"UID:",DATA!A404,,CHAR(13),"END:VEVENT")</f>
        <v>#N/A</v>
      </c>
    </row>
    <row r="405" spans="1:1" x14ac:dyDescent="0.25">
      <c r="A40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(Required)]],CHAR(13),"UID:",DATA!A405,,CHAR(13),"END:VEVENT")</f>
        <v>#N/A</v>
      </c>
    </row>
    <row r="406" spans="1:1" x14ac:dyDescent="0.25">
      <c r="A40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(Required)]],CHAR(13),"UID:",DATA!A406,,CHAR(13),"END:VEVENT")</f>
        <v>#N/A</v>
      </c>
    </row>
    <row r="407" spans="1:1" x14ac:dyDescent="0.25">
      <c r="A40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(Required)]],CHAR(13),"UID:",DATA!A407,,CHAR(13),"END:VEVENT")</f>
        <v>#N/A</v>
      </c>
    </row>
    <row r="408" spans="1:1" x14ac:dyDescent="0.25">
      <c r="A40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(Required)]],CHAR(13),"UID:",DATA!A408,,CHAR(13),"END:VEVENT")</f>
        <v>#N/A</v>
      </c>
    </row>
    <row r="409" spans="1:1" x14ac:dyDescent="0.25">
      <c r="A40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(Required)]],CHAR(13),"UID:",DATA!A409,,CHAR(13),"END:VEVENT")</f>
        <v>#N/A</v>
      </c>
    </row>
    <row r="410" spans="1:1" x14ac:dyDescent="0.25">
      <c r="A41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(Required)]],CHAR(13),"UID:",DATA!A410,,CHAR(13),"END:VEVENT")</f>
        <v>#N/A</v>
      </c>
    </row>
    <row r="411" spans="1:1" x14ac:dyDescent="0.25">
      <c r="A41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(Required)]],CHAR(13),"UID:",DATA!A411,,CHAR(13),"END:VEVENT")</f>
        <v>#N/A</v>
      </c>
    </row>
    <row r="412" spans="1:1" x14ac:dyDescent="0.25">
      <c r="A41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(Required)]],CHAR(13),"UID:",DATA!A412,,CHAR(13),"END:VEVENT")</f>
        <v>#N/A</v>
      </c>
    </row>
    <row r="413" spans="1:1" x14ac:dyDescent="0.25">
      <c r="A41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(Required)]],CHAR(13),"UID:",DATA!A413,,CHAR(13),"END:VEVENT")</f>
        <v>#N/A</v>
      </c>
    </row>
    <row r="414" spans="1:1" x14ac:dyDescent="0.25">
      <c r="A41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(Required)]],CHAR(13),"UID:",DATA!A414,,CHAR(13),"END:VEVENT")</f>
        <v>#N/A</v>
      </c>
    </row>
    <row r="415" spans="1:1" x14ac:dyDescent="0.25">
      <c r="A41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(Required)]],CHAR(13),"UID:",DATA!A415,,CHAR(13),"END:VEVENT")</f>
        <v>#N/A</v>
      </c>
    </row>
    <row r="416" spans="1:1" x14ac:dyDescent="0.25">
      <c r="A41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(Required)]],CHAR(13),"UID:",DATA!A416,,CHAR(13),"END:VEVENT")</f>
        <v>#N/A</v>
      </c>
    </row>
    <row r="417" spans="1:1" x14ac:dyDescent="0.25">
      <c r="A41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(Required)]],CHAR(13),"UID:",DATA!A417,,CHAR(13),"END:VEVENT")</f>
        <v>#N/A</v>
      </c>
    </row>
    <row r="418" spans="1:1" x14ac:dyDescent="0.25">
      <c r="A41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(Required)]],CHAR(13),"UID:",DATA!A418,,CHAR(13),"END:VEVENT")</f>
        <v>#N/A</v>
      </c>
    </row>
    <row r="419" spans="1:1" x14ac:dyDescent="0.25">
      <c r="A41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(Required)]],CHAR(13),"UID:",DATA!A419,,CHAR(13),"END:VEVENT")</f>
        <v>#N/A</v>
      </c>
    </row>
    <row r="420" spans="1:1" x14ac:dyDescent="0.25">
      <c r="A42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(Required)]],CHAR(13),"UID:",DATA!A420,,CHAR(13),"END:VEVENT")</f>
        <v>#N/A</v>
      </c>
    </row>
    <row r="421" spans="1:1" x14ac:dyDescent="0.25">
      <c r="A42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(Required)]],CHAR(13),"UID:",DATA!A421,,CHAR(13),"END:VEVENT")</f>
        <v>#N/A</v>
      </c>
    </row>
    <row r="422" spans="1:1" x14ac:dyDescent="0.25">
      <c r="A42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(Required)]],CHAR(13),"UID:",DATA!A422,,CHAR(13),"END:VEVENT")</f>
        <v>#N/A</v>
      </c>
    </row>
    <row r="423" spans="1:1" x14ac:dyDescent="0.25">
      <c r="A42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(Required)]],CHAR(13),"UID:",DATA!A423,,CHAR(13),"END:VEVENT")</f>
        <v>#N/A</v>
      </c>
    </row>
    <row r="424" spans="1:1" x14ac:dyDescent="0.25">
      <c r="A42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(Required)]],CHAR(13),"UID:",DATA!A424,,CHAR(13),"END:VEVENT")</f>
        <v>#N/A</v>
      </c>
    </row>
    <row r="425" spans="1:1" x14ac:dyDescent="0.25">
      <c r="A42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(Required)]],CHAR(13),"UID:",DATA!A425,,CHAR(13),"END:VEVENT")</f>
        <v>#N/A</v>
      </c>
    </row>
    <row r="426" spans="1:1" x14ac:dyDescent="0.25">
      <c r="A42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(Required)]],CHAR(13),"UID:",DATA!A426,,CHAR(13),"END:VEVENT")</f>
        <v>#N/A</v>
      </c>
    </row>
    <row r="427" spans="1:1" x14ac:dyDescent="0.25">
      <c r="A42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(Required)]],CHAR(13),"UID:",DATA!A427,,CHAR(13),"END:VEVENT")</f>
        <v>#N/A</v>
      </c>
    </row>
    <row r="428" spans="1:1" x14ac:dyDescent="0.25">
      <c r="A42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(Required)]],CHAR(13),"UID:",DATA!A428,,CHAR(13),"END:VEVENT")</f>
        <v>#N/A</v>
      </c>
    </row>
    <row r="429" spans="1:1" x14ac:dyDescent="0.25">
      <c r="A42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(Required)]],CHAR(13),"UID:",DATA!A429,,CHAR(13),"END:VEVENT")</f>
        <v>#N/A</v>
      </c>
    </row>
    <row r="430" spans="1:1" x14ac:dyDescent="0.25">
      <c r="A43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(Required)]],CHAR(13),"UID:",DATA!A430,,CHAR(13),"END:VEVENT")</f>
        <v>#N/A</v>
      </c>
    </row>
    <row r="431" spans="1:1" x14ac:dyDescent="0.25">
      <c r="A43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(Required)]],CHAR(13),"UID:",DATA!A431,,CHAR(13),"END:VEVENT")</f>
        <v>#N/A</v>
      </c>
    </row>
    <row r="432" spans="1:1" x14ac:dyDescent="0.25">
      <c r="A43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(Required)]],CHAR(13),"UID:",DATA!A432,,CHAR(13),"END:VEVENT")</f>
        <v>#N/A</v>
      </c>
    </row>
    <row r="433" spans="1:1" x14ac:dyDescent="0.25">
      <c r="A43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(Required)]],CHAR(13),"UID:",DATA!A433,,CHAR(13),"END:VEVENT")</f>
        <v>#N/A</v>
      </c>
    </row>
    <row r="434" spans="1:1" x14ac:dyDescent="0.25">
      <c r="A43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(Required)]],CHAR(13),"UID:",DATA!A434,,CHAR(13),"END:VEVENT")</f>
        <v>#N/A</v>
      </c>
    </row>
    <row r="435" spans="1:1" x14ac:dyDescent="0.25">
      <c r="A43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(Required)]],CHAR(13),"UID:",DATA!A435,,CHAR(13),"END:VEVENT")</f>
        <v>#N/A</v>
      </c>
    </row>
    <row r="436" spans="1:1" x14ac:dyDescent="0.25">
      <c r="A43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(Required)]],CHAR(13),"UID:",DATA!A436,,CHAR(13),"END:VEVENT")</f>
        <v>#N/A</v>
      </c>
    </row>
    <row r="437" spans="1:1" x14ac:dyDescent="0.25">
      <c r="A43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(Required)]],CHAR(13),"UID:",DATA!A437,,CHAR(13),"END:VEVENT")</f>
        <v>#N/A</v>
      </c>
    </row>
    <row r="438" spans="1:1" x14ac:dyDescent="0.25">
      <c r="A43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(Required)]],CHAR(13),"UID:",DATA!A438,,CHAR(13),"END:VEVENT")</f>
        <v>#N/A</v>
      </c>
    </row>
    <row r="439" spans="1:1" x14ac:dyDescent="0.25">
      <c r="A43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(Required)]],CHAR(13),"UID:",DATA!A439,,CHAR(13),"END:VEVENT")</f>
        <v>#N/A</v>
      </c>
    </row>
    <row r="440" spans="1:1" x14ac:dyDescent="0.25">
      <c r="A44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(Required)]],CHAR(13),"UID:",DATA!A440,,CHAR(13),"END:VEVENT")</f>
        <v>#N/A</v>
      </c>
    </row>
    <row r="441" spans="1:1" x14ac:dyDescent="0.25">
      <c r="A44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(Required)]],CHAR(13),"UID:",DATA!A441,,CHAR(13),"END:VEVENT")</f>
        <v>#N/A</v>
      </c>
    </row>
    <row r="442" spans="1:1" x14ac:dyDescent="0.25">
      <c r="A44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(Required)]],CHAR(13),"UID:",DATA!A442,,CHAR(13),"END:VEVENT")</f>
        <v>#N/A</v>
      </c>
    </row>
    <row r="443" spans="1:1" x14ac:dyDescent="0.25">
      <c r="A44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(Required)]],CHAR(13),"UID:",DATA!A443,,CHAR(13),"END:VEVENT")</f>
        <v>#N/A</v>
      </c>
    </row>
    <row r="444" spans="1:1" x14ac:dyDescent="0.25">
      <c r="A44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(Required)]],CHAR(13),"UID:",DATA!A444,,CHAR(13),"END:VEVENT")</f>
        <v>#N/A</v>
      </c>
    </row>
    <row r="445" spans="1:1" x14ac:dyDescent="0.25">
      <c r="A44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(Required)]],CHAR(13),"UID:",DATA!A445,,CHAR(13),"END:VEVENT")</f>
        <v>#N/A</v>
      </c>
    </row>
    <row r="446" spans="1:1" x14ac:dyDescent="0.25">
      <c r="A44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(Required)]],CHAR(13),"UID:",DATA!A446,,CHAR(13),"END:VEVENT")</f>
        <v>#N/A</v>
      </c>
    </row>
    <row r="447" spans="1:1" x14ac:dyDescent="0.25">
      <c r="A44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(Required)]],CHAR(13),"UID:",DATA!A447,,CHAR(13),"END:VEVENT")</f>
        <v>#N/A</v>
      </c>
    </row>
    <row r="448" spans="1:1" x14ac:dyDescent="0.25">
      <c r="A44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(Required)]],CHAR(13),"UID:",DATA!A448,,CHAR(13),"END:VEVENT")</f>
        <v>#N/A</v>
      </c>
    </row>
    <row r="449" spans="1:1" x14ac:dyDescent="0.25">
      <c r="A44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(Required)]],CHAR(13),"UID:",DATA!A449,,CHAR(13),"END:VEVENT")</f>
        <v>#N/A</v>
      </c>
    </row>
    <row r="450" spans="1:1" x14ac:dyDescent="0.25">
      <c r="A45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(Required)]],CHAR(13),"UID:",DATA!A450,,CHAR(13),"END:VEVENT")</f>
        <v>#N/A</v>
      </c>
    </row>
    <row r="451" spans="1:1" x14ac:dyDescent="0.25">
      <c r="A45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(Required)]],CHAR(13),"UID:",DATA!A451,,CHAR(13),"END:VEVENT")</f>
        <v>#N/A</v>
      </c>
    </row>
    <row r="452" spans="1:1" x14ac:dyDescent="0.25">
      <c r="A45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(Required)]],CHAR(13),"UID:",DATA!A452,,CHAR(13),"END:VEVENT")</f>
        <v>#N/A</v>
      </c>
    </row>
    <row r="453" spans="1:1" x14ac:dyDescent="0.25">
      <c r="A45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(Required)]],CHAR(13),"UID:",DATA!A453,,CHAR(13),"END:VEVENT")</f>
        <v>#N/A</v>
      </c>
    </row>
    <row r="454" spans="1:1" x14ac:dyDescent="0.25">
      <c r="A45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(Required)]],CHAR(13),"UID:",DATA!A454,,CHAR(13),"END:VEVENT")</f>
        <v>#N/A</v>
      </c>
    </row>
    <row r="455" spans="1:1" x14ac:dyDescent="0.25">
      <c r="A45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(Required)]],CHAR(13),"UID:",DATA!A455,,CHAR(13),"END:VEVENT")</f>
        <v>#N/A</v>
      </c>
    </row>
    <row r="456" spans="1:1" x14ac:dyDescent="0.25">
      <c r="A45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(Required)]],CHAR(13),"UID:",DATA!A456,,CHAR(13),"END:VEVENT")</f>
        <v>#N/A</v>
      </c>
    </row>
    <row r="457" spans="1:1" x14ac:dyDescent="0.25">
      <c r="A45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(Required)]],CHAR(13),"UID:",DATA!A457,,CHAR(13),"END:VEVENT")</f>
        <v>#N/A</v>
      </c>
    </row>
    <row r="458" spans="1:1" x14ac:dyDescent="0.25">
      <c r="A45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(Required)]],CHAR(13),"UID:",DATA!A458,,CHAR(13),"END:VEVENT")</f>
        <v>#N/A</v>
      </c>
    </row>
    <row r="459" spans="1:1" x14ac:dyDescent="0.25">
      <c r="A45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(Required)]],CHAR(13),"UID:",DATA!A459,,CHAR(13),"END:VEVENT")</f>
        <v>#N/A</v>
      </c>
    </row>
    <row r="460" spans="1:1" x14ac:dyDescent="0.25">
      <c r="A46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(Required)]],CHAR(13),"UID:",DATA!A460,,CHAR(13),"END:VEVENT")</f>
        <v>#N/A</v>
      </c>
    </row>
    <row r="461" spans="1:1" x14ac:dyDescent="0.25">
      <c r="A46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(Required)]],CHAR(13),"UID:",DATA!A461,,CHAR(13),"END:VEVENT")</f>
        <v>#N/A</v>
      </c>
    </row>
    <row r="462" spans="1:1" x14ac:dyDescent="0.25">
      <c r="A46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(Required)]],CHAR(13),"UID:",DATA!A462,,CHAR(13),"END:VEVENT")</f>
        <v>#N/A</v>
      </c>
    </row>
    <row r="463" spans="1:1" x14ac:dyDescent="0.25">
      <c r="A46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(Required)]],CHAR(13),"UID:",DATA!A463,,CHAR(13),"END:VEVENT")</f>
        <v>#N/A</v>
      </c>
    </row>
    <row r="464" spans="1:1" x14ac:dyDescent="0.25">
      <c r="A46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(Required)]],CHAR(13),"UID:",DATA!A464,,CHAR(13),"END:VEVENT")</f>
        <v>#N/A</v>
      </c>
    </row>
    <row r="465" spans="1:1" x14ac:dyDescent="0.25">
      <c r="A46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(Required)]],CHAR(13),"UID:",DATA!A465,,CHAR(13),"END:VEVENT")</f>
        <v>#N/A</v>
      </c>
    </row>
    <row r="466" spans="1:1" x14ac:dyDescent="0.25">
      <c r="A46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(Required)]],CHAR(13),"UID:",DATA!A466,,CHAR(13),"END:VEVENT")</f>
        <v>#N/A</v>
      </c>
    </row>
    <row r="467" spans="1:1" x14ac:dyDescent="0.25">
      <c r="A46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(Required)]],CHAR(13),"UID:",DATA!A467,,CHAR(13),"END:VEVENT")</f>
        <v>#N/A</v>
      </c>
    </row>
    <row r="468" spans="1:1" x14ac:dyDescent="0.25">
      <c r="A46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(Required)]],CHAR(13),"UID:",DATA!A468,,CHAR(13),"END:VEVENT")</f>
        <v>#N/A</v>
      </c>
    </row>
    <row r="469" spans="1:1" x14ac:dyDescent="0.25">
      <c r="A46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(Required)]],CHAR(13),"UID:",DATA!A469,,CHAR(13),"END:VEVENT")</f>
        <v>#N/A</v>
      </c>
    </row>
    <row r="470" spans="1:1" x14ac:dyDescent="0.25">
      <c r="A47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(Required)]],CHAR(13),"UID:",DATA!A470,,CHAR(13),"END:VEVENT")</f>
        <v>#N/A</v>
      </c>
    </row>
    <row r="471" spans="1:1" x14ac:dyDescent="0.25">
      <c r="A47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(Required)]],CHAR(13),"UID:",DATA!A471,,CHAR(13),"END:VEVENT")</f>
        <v>#N/A</v>
      </c>
    </row>
    <row r="472" spans="1:1" x14ac:dyDescent="0.25">
      <c r="A47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(Required)]],CHAR(13),"UID:",DATA!A472,,CHAR(13),"END:VEVENT")</f>
        <v>#N/A</v>
      </c>
    </row>
    <row r="473" spans="1:1" x14ac:dyDescent="0.25">
      <c r="A47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(Required)]],CHAR(13),"UID:",DATA!A473,,CHAR(13),"END:VEVENT")</f>
        <v>#N/A</v>
      </c>
    </row>
    <row r="474" spans="1:1" x14ac:dyDescent="0.25">
      <c r="A47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(Required)]],CHAR(13),"UID:",DATA!A474,,CHAR(13),"END:VEVENT")</f>
        <v>#N/A</v>
      </c>
    </row>
    <row r="475" spans="1:1" x14ac:dyDescent="0.25">
      <c r="A47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(Required)]],CHAR(13),"UID:",DATA!A475,,CHAR(13),"END:VEVENT")</f>
        <v>#N/A</v>
      </c>
    </row>
    <row r="476" spans="1:1" x14ac:dyDescent="0.25">
      <c r="A47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(Required)]],CHAR(13),"UID:",DATA!A476,,CHAR(13),"END:VEVENT")</f>
        <v>#N/A</v>
      </c>
    </row>
    <row r="477" spans="1:1" x14ac:dyDescent="0.25">
      <c r="A47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(Required)]],CHAR(13),"UID:",DATA!A477,,CHAR(13),"END:VEVENT")</f>
        <v>#N/A</v>
      </c>
    </row>
    <row r="478" spans="1:1" x14ac:dyDescent="0.25">
      <c r="A47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(Required)]],CHAR(13),"UID:",DATA!A478,,CHAR(13),"END:VEVENT")</f>
        <v>#N/A</v>
      </c>
    </row>
    <row r="479" spans="1:1" x14ac:dyDescent="0.25">
      <c r="A47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(Required)]],CHAR(13),"UID:",DATA!A479,,CHAR(13),"END:VEVENT")</f>
        <v>#N/A</v>
      </c>
    </row>
    <row r="480" spans="1:1" x14ac:dyDescent="0.25">
      <c r="A48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(Required)]],CHAR(13),"UID:",DATA!A480,,CHAR(13),"END:VEVENT")</f>
        <v>#N/A</v>
      </c>
    </row>
    <row r="481" spans="1:1" x14ac:dyDescent="0.25">
      <c r="A48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(Required)]],CHAR(13),"UID:",DATA!A481,,CHAR(13),"END:VEVENT")</f>
        <v>#N/A</v>
      </c>
    </row>
    <row r="482" spans="1:1" x14ac:dyDescent="0.25">
      <c r="A48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(Required)]],CHAR(13),"UID:",DATA!A482,,CHAR(13),"END:VEVENT")</f>
        <v>#N/A</v>
      </c>
    </row>
    <row r="483" spans="1:1" x14ac:dyDescent="0.25">
      <c r="A48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(Required)]],CHAR(13),"UID:",DATA!A483,,CHAR(13),"END:VEVENT")</f>
        <v>#N/A</v>
      </c>
    </row>
    <row r="484" spans="1:1" x14ac:dyDescent="0.25">
      <c r="A48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(Required)]],CHAR(13),"UID:",DATA!A484,,CHAR(13),"END:VEVENT")</f>
        <v>#N/A</v>
      </c>
    </row>
    <row r="485" spans="1:1" x14ac:dyDescent="0.25">
      <c r="A48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(Required)]],CHAR(13),"UID:",DATA!A485,,CHAR(13),"END:VEVENT")</f>
        <v>#N/A</v>
      </c>
    </row>
    <row r="486" spans="1:1" x14ac:dyDescent="0.25">
      <c r="A48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(Required)]],CHAR(13),"UID:",DATA!A486,,CHAR(13),"END:VEVENT")</f>
        <v>#N/A</v>
      </c>
    </row>
    <row r="487" spans="1:1" x14ac:dyDescent="0.25">
      <c r="A48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(Required)]],CHAR(13),"UID:",DATA!A487,,CHAR(13),"END:VEVENT")</f>
        <v>#N/A</v>
      </c>
    </row>
    <row r="488" spans="1:1" x14ac:dyDescent="0.25">
      <c r="A48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(Required)]],CHAR(13),"UID:",DATA!A488,,CHAR(13),"END:VEVENT")</f>
        <v>#N/A</v>
      </c>
    </row>
    <row r="489" spans="1:1" x14ac:dyDescent="0.25">
      <c r="A48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(Required)]],CHAR(13),"UID:",DATA!A489,,CHAR(13),"END:VEVENT")</f>
        <v>#N/A</v>
      </c>
    </row>
    <row r="490" spans="1:1" x14ac:dyDescent="0.25">
      <c r="A49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(Required)]],CHAR(13),"UID:",DATA!A490,,CHAR(13),"END:VEVENT")</f>
        <v>#N/A</v>
      </c>
    </row>
    <row r="491" spans="1:1" x14ac:dyDescent="0.25">
      <c r="A491"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(Required)]],CHAR(13),"UID:",DATA!A491,,CHAR(13),"END:VEVENT")</f>
        <v>#N/A</v>
      </c>
    </row>
    <row r="492" spans="1:1" x14ac:dyDescent="0.25">
      <c r="A492"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(Required)]],CHAR(13),"UID:",DATA!A492,,CHAR(13),"END:VEVENT")</f>
        <v>#N/A</v>
      </c>
    </row>
    <row r="493" spans="1:1" x14ac:dyDescent="0.25">
      <c r="A493"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(Required)]],CHAR(13),"UID:",DATA!A493,,CHAR(13),"END:VEVENT")</f>
        <v>#N/A</v>
      </c>
    </row>
    <row r="494" spans="1:1" x14ac:dyDescent="0.25">
      <c r="A494"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(Required)]],CHAR(13),"UID:",DATA!A494,,CHAR(13),"END:VEVENT")</f>
        <v>#N/A</v>
      </c>
    </row>
    <row r="495" spans="1:1" x14ac:dyDescent="0.25">
      <c r="A495"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(Required)]],CHAR(13),"UID:",DATA!A495,,CHAR(13),"END:VEVENT")</f>
        <v>#N/A</v>
      </c>
    </row>
    <row r="496" spans="1:1" x14ac:dyDescent="0.25">
      <c r="A496"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(Required)]],CHAR(13),"UID:",DATA!A496,,CHAR(13),"END:VEVENT")</f>
        <v>#N/A</v>
      </c>
    </row>
    <row r="497" spans="1:1" x14ac:dyDescent="0.25">
      <c r="A497"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(Required)]],CHAR(13),"UID:",DATA!A497,,CHAR(13),"END:VEVENT")</f>
        <v>#N/A</v>
      </c>
    </row>
    <row r="498" spans="1:1" x14ac:dyDescent="0.25">
      <c r="A498"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(Required)]],CHAR(13),"UID:",DATA!A498,,CHAR(13),"END:VEVENT")</f>
        <v>#N/A</v>
      </c>
    </row>
    <row r="499" spans="1:1" x14ac:dyDescent="0.25">
      <c r="A499"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(Required)]],CHAR(13),"UID:",DATA!A499,,CHAR(13),"END:VEVENT")</f>
        <v>#N/A</v>
      </c>
    </row>
    <row r="500" spans="1:1" x14ac:dyDescent="0.25">
      <c r="A500" t="e">
        <f ca="1">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(Required)]],CHAR(13),"UID:",DATA!A500,,CHAR(13),"END:VEVENT")</f>
        <v>#N/A</v>
      </c>
    </row>
    <row r="501" spans="1:1" x14ac:dyDescent="0.25">
      <c r="A501"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(Required)]],CHAR(13),"UID:",DATA!A501,,CHAR(13),"END:VEVENT")</f>
        <v>#N/A</v>
      </c>
    </row>
    <row r="502" spans="1:1" x14ac:dyDescent="0.25">
      <c r="A502"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(Required)]],CHAR(13),"UID:",DATA!A502,,CHAR(13),"END:VEVENT")</f>
        <v>#N/A</v>
      </c>
    </row>
    <row r="503" spans="1:1" x14ac:dyDescent="0.25">
      <c r="A503"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(Required)]],CHAR(13),"UID:",DATA!A503,,CHAR(13),"END:VEVENT")</f>
        <v>#N/A</v>
      </c>
    </row>
    <row r="504" spans="1:1" x14ac:dyDescent="0.25">
      <c r="A504" t="e">
        <f>CONCATENATE("BEGIN:VEVENT",CHAR(13),IF(Table1[TopicalArea]="","",CONCATENATE("CATEGORIES:",Table1[TopicalArea],CHAR(13))),IF(Table1[TopicalArea2]="","",CONCATENATE("CATEGORIES:",Table1[TopicalArea2],CHAR(13))),IF(Table1[TopicalArea3]="","",CONCATENATE("CATEGORIES:",Table1[TopicalArea3],CHAR(13))),IF(Table1[TopicalArea4]="","",CONCATENATE("CATEGORIES:",Table1[TopicalArea4],CHAR(13))),IF(Table1[TopicalArea5]="","",CONCATENATE("CATEGORIES:",Table1[TopicalArea5],CHAR(13))),"CONTACT;X-BEDEWORK-UID=",VLOOKUP(Table1[[#This Row],[BRANCH]],CONTACTS!$A$2:$C$37,3,TRUE),":",VLOOKUP(Table1[[#This Row],[BRANCH]],CONTACTS!$A$2:$B$37,2,TRUE),CHAR(13),"DESCRIPTION:",Table1[[#This Row],[DESCRIPTION
up to 600 characters
(Required)]],CHAR(13),"DTSTART;TZID=America/Chicago:",TEXT(#REF!,"yyyymmdd"),"T",TEXT(Table1[[#This Row],[START TIME HH:MM AM/PM (Required)]],"hhmmss"),CHAR(13),"LOCATION;X-BEDEWORK-UID=",VLOOKUP(Table1[[#This Row],[BRANCH]],LOCATIONS!$A$2:$B$45,2,FALSE),":",VLOOKUP(Table1[[#This Row],[BRANCH]],LOCATIONS!$A$2:$B$45,1,FALSE),CHAR(13),"SUMMARY:",Table1[[#This Row],[PROGRAM TITLE
50 character limit
(Required)]],CHAR(13),"UID:",DATA!A504,,CHAR(13),"END:VEVENT")</f>
        <v>#N/A</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bab956b1f44ef9d173162e10f4b27789">
  <xsd:schema xmlns:xsd="http://www.w3.org/2001/XMLSchema" xmlns:xs="http://www.w3.org/2001/XMLSchema" xmlns:p="http://schemas.microsoft.com/office/2006/metadata/properties" targetNamespace="http://schemas.microsoft.com/office/2006/metadata/properties" ma:root="true" ma:fieldsID="16eaa9825d2fedb5a83ac41ebe86c43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002E826-9EC6-43F3-B5E6-C315779A71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82BF16-E0A9-45CD-8075-6F85A04B23A2}">
  <ds:schemaRefs>
    <ds:schemaRef ds:uri="http://www.w3.org/XML/1998/namespace"/>
    <ds:schemaRef ds:uri="http://schemas.microsoft.com/office/infopath/2007/PartnerControls"/>
    <ds:schemaRef ds:uri="http://purl.org/dc/elements/1.1/"/>
    <ds:schemaRef ds:uri="http://purl.org/dc/terms/"/>
    <ds:schemaRef ds:uri="http://purl.org/dc/dcmitype/"/>
    <ds:schemaRef ds:uri="http://schemas.microsoft.com/office/2006/documentManagement/types"/>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C80E6EB2-F103-49A9-92AC-8EC08C0253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LOCATIONS</vt:lpstr>
      <vt:lpstr>CONTACTS</vt:lpstr>
      <vt:lpstr>TOPICALAREAS</vt:lpstr>
      <vt:lpstr>TOPICALUIDS</vt:lpstr>
      <vt:lpstr>WORD</vt:lpstr>
      <vt:lpstr>DETAILS</vt:lpstr>
      <vt:lpstr>ICAL_ROWS</vt:lpstr>
    </vt:vector>
  </TitlesOfParts>
  <Company>Metropolitan Government of Nashville &amp; Davidson Cty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sgoslin</dc:creator>
  <cp:lastModifiedBy>Cook, Kyle (Library)</cp:lastModifiedBy>
  <cp:lastPrinted>2013-08-08T14:47:37Z</cp:lastPrinted>
  <dcterms:created xsi:type="dcterms:W3CDTF">2012-08-09T15:28:25Z</dcterms:created>
  <dcterms:modified xsi:type="dcterms:W3CDTF">2014-08-25T20:01:43Z</dcterms:modified>
</cp:coreProperties>
</file>